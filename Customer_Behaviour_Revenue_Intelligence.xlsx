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THY TECH PC\Downloads\"/>
    </mc:Choice>
  </mc:AlternateContent>
  <xr:revisionPtr revIDLastSave="0" documentId="8_{816FEF09-6050-4CF6-BE54-0F475880EA20}" xr6:coauthVersionLast="47" xr6:coauthVersionMax="47" xr10:uidLastSave="{00000000-0000-0000-0000-000000000000}"/>
  <bookViews>
    <workbookView xWindow="-110" yWindow="-110" windowWidth="19420" windowHeight="10300" xr2:uid="{BF4552E9-4956-4DD7-A787-719A52FE6B40}"/>
  </bookViews>
  <sheets>
    <sheet name="Analysed Data" sheetId="1" r:id="rId1"/>
    <sheet name="P.T" sheetId="3" r:id="rId2"/>
  </sheets>
  <calcPr calcId="181029"/>
  <pivotCaches>
    <pivotCache cacheId="0" r:id="rId3"/>
  </pivotCaches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2" i="1"/>
</calcChain>
</file>

<file path=xl/sharedStrings.xml><?xml version="1.0" encoding="utf-8"?>
<sst xmlns="http://schemas.openxmlformats.org/spreadsheetml/2006/main" count="5044" uniqueCount="114">
  <si>
    <t>Visit_Id</t>
  </si>
  <si>
    <t>Visit_Date</t>
  </si>
  <si>
    <t>Country</t>
  </si>
  <si>
    <t>City</t>
  </si>
  <si>
    <t>Device_Category</t>
  </si>
  <si>
    <t>Browser</t>
  </si>
  <si>
    <t>Traffic_Source</t>
  </si>
  <si>
    <t>PageViews</t>
  </si>
  <si>
    <t>Transaction</t>
  </si>
  <si>
    <t>Revenue</t>
  </si>
  <si>
    <t>Device_type</t>
  </si>
  <si>
    <t>United States</t>
  </si>
  <si>
    <t>Chrome</t>
  </si>
  <si>
    <t>Mobile_User</t>
  </si>
  <si>
    <t>Los Angeles</t>
  </si>
  <si>
    <t>San Francisco</t>
  </si>
  <si>
    <t>Safari</t>
  </si>
  <si>
    <t>Washington</t>
  </si>
  <si>
    <t>New York</t>
  </si>
  <si>
    <t>Austin</t>
  </si>
  <si>
    <t>Boston</t>
  </si>
  <si>
    <t>Pittsburgh</t>
  </si>
  <si>
    <t>Finland</t>
  </si>
  <si>
    <t>Atlanta</t>
  </si>
  <si>
    <t>Charlotte</t>
  </si>
  <si>
    <t>Chicago</t>
  </si>
  <si>
    <t>Safari (in-app)</t>
  </si>
  <si>
    <t>Seattle</t>
  </si>
  <si>
    <t>Houston</t>
  </si>
  <si>
    <t>San Antonio</t>
  </si>
  <si>
    <t>Android Webview</t>
  </si>
  <si>
    <t>San Jose</t>
  </si>
  <si>
    <t>Mexico</t>
  </si>
  <si>
    <t>Tigard</t>
  </si>
  <si>
    <t>Sunnyvale</t>
  </si>
  <si>
    <t>Kazakhstan</t>
  </si>
  <si>
    <t>Anguilla</t>
  </si>
  <si>
    <t>Dallas</t>
  </si>
  <si>
    <t>Minneapolis</t>
  </si>
  <si>
    <t>Internet Explorer</t>
  </si>
  <si>
    <t>Canada</t>
  </si>
  <si>
    <t>Ann Arbor</t>
  </si>
  <si>
    <t>Ireland</t>
  </si>
  <si>
    <t>Dublin</t>
  </si>
  <si>
    <t>Mountain View</t>
  </si>
  <si>
    <t>Spain</t>
  </si>
  <si>
    <t>Jersey City</t>
  </si>
  <si>
    <t>Toronto</t>
  </si>
  <si>
    <t>Phoenix</t>
  </si>
  <si>
    <t>Puerto Rico</t>
  </si>
  <si>
    <t>Georgia</t>
  </si>
  <si>
    <t>Tbilisi</t>
  </si>
  <si>
    <t>Palo Alto</t>
  </si>
  <si>
    <t>Barrie</t>
  </si>
  <si>
    <t>Fremont</t>
  </si>
  <si>
    <t>Firefox</t>
  </si>
  <si>
    <t>Portland</t>
  </si>
  <si>
    <t>Miami</t>
  </si>
  <si>
    <t>San Diego</t>
  </si>
  <si>
    <t>Jacksonville</t>
  </si>
  <si>
    <t>El Paso</t>
  </si>
  <si>
    <t>Japan</t>
  </si>
  <si>
    <t>Greece</t>
  </si>
  <si>
    <t>Athens</t>
  </si>
  <si>
    <t>Montreal</t>
  </si>
  <si>
    <t>Cupertino</t>
  </si>
  <si>
    <t>Australia</t>
  </si>
  <si>
    <t>Melbourne</t>
  </si>
  <si>
    <t>Philadelphia</t>
  </si>
  <si>
    <t>Malaysia</t>
  </si>
  <si>
    <t>Kuala Lumpur</t>
  </si>
  <si>
    <t>Barcelona</t>
  </si>
  <si>
    <t>Colombia</t>
  </si>
  <si>
    <t>Cambridge</t>
  </si>
  <si>
    <t>Irvine</t>
  </si>
  <si>
    <t>Denver</t>
  </si>
  <si>
    <t>Ottawa</t>
  </si>
  <si>
    <t>San Mateo</t>
  </si>
  <si>
    <t>Egypt</t>
  </si>
  <si>
    <t>Germany</t>
  </si>
  <si>
    <t>Saudi Arabia</t>
  </si>
  <si>
    <t>Philippines</t>
  </si>
  <si>
    <t>Kirkland</t>
  </si>
  <si>
    <t>Boulder</t>
  </si>
  <si>
    <t>Panama</t>
  </si>
  <si>
    <t>Orlando</t>
  </si>
  <si>
    <t>Taiwan</t>
  </si>
  <si>
    <t>Unspecified</t>
  </si>
  <si>
    <t>(Unspecified)</t>
  </si>
  <si>
    <t>Mobile</t>
  </si>
  <si>
    <t>Google</t>
  </si>
  <si>
    <t>(Direct)</t>
  </si>
  <si>
    <t>YouTube</t>
  </si>
  <si>
    <t>Revenue_Per_Pageview</t>
  </si>
  <si>
    <t>Day Of Week</t>
  </si>
  <si>
    <t>Revenue_Segment</t>
  </si>
  <si>
    <t>Row Labels</t>
  </si>
  <si>
    <t>Grand Total</t>
  </si>
  <si>
    <t>Sum of Transaction</t>
  </si>
  <si>
    <t>Sum of Revenue</t>
  </si>
  <si>
    <t>Monday</t>
  </si>
  <si>
    <t>Tuesday</t>
  </si>
  <si>
    <t>Wednesday</t>
  </si>
  <si>
    <t>Thursday</t>
  </si>
  <si>
    <t>Friday</t>
  </si>
  <si>
    <t>Saturday</t>
  </si>
  <si>
    <t>Sunday</t>
  </si>
  <si>
    <t>High</t>
  </si>
  <si>
    <t>Low</t>
  </si>
  <si>
    <t>Medium</t>
  </si>
  <si>
    <t>Customer Segment</t>
  </si>
  <si>
    <t>Geographic Sales</t>
  </si>
  <si>
    <t>Traffic Analysis</t>
  </si>
  <si>
    <t>Weekly Trends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</si>
</sst>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1" fontId="0" fillId="0" borderId="0" xfId="0" applyNumberForma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IYAH AUTOS" refreshedDate="46212.398639930558" createdVersion="8" refreshedVersion="8" minRefreshableVersion="3" recordCount="825" xr:uid="{9C95D5E4-5B26-4339-BB28-5AB584045BED}">
  <cacheSource type="worksheet">
    <worksheetSource ref="A1:N826" sheet="Analysed Data"/>
  </cacheSource>
  <cacheFields count="14">
    <cacheField name="Visit_Id" numFmtId="0">
      <sharedItems containsSemiMixedTypes="0" containsString="0" containsNumber="1" containsInteger="1" minValue="1470339495" maxValue="1501641303"/>
    </cacheField>
    <cacheField name="Visit_Date" numFmtId="14">
      <sharedItems containsSemiMixedTypes="0" containsNonDate="0" containsDate="1" containsString="0" minDate="2016-08-04T00:00:00" maxDate="2017-08-02T00:00:00"/>
    </cacheField>
    <cacheField name="Country" numFmtId="0">
      <sharedItems/>
    </cacheField>
    <cacheField name="City" numFmtId="0">
      <sharedItems count="50">
        <s v="Unspecified"/>
        <s v="Los Angeles"/>
        <s v="San Francisco"/>
        <s v="Washington"/>
        <s v="New York"/>
        <s v="Austin"/>
        <s v="Boston"/>
        <s v="Pittsburgh"/>
        <s v="Atlanta"/>
        <s v="Charlotte"/>
        <s v="Chicago"/>
        <s v="Seattle"/>
        <s v="(Unspecified)"/>
        <s v="Houston"/>
        <s v="San Antonio"/>
        <s v="San Jose"/>
        <s v="Tigard"/>
        <s v="Sunnyvale"/>
        <s v="Dallas"/>
        <s v="Minneapolis"/>
        <s v="Ann Arbor"/>
        <s v="Dublin"/>
        <s v="Mountain View"/>
        <s v="Jersey City"/>
        <s v="Toronto"/>
        <s v="Phoenix"/>
        <s v="Tbilisi"/>
        <s v="Palo Alto"/>
        <s v="Barrie"/>
        <s v="Fremont"/>
        <s v="Portland"/>
        <s v="Miami"/>
        <s v="San Diego"/>
        <s v="Jacksonville"/>
        <s v="El Paso"/>
        <s v="Athens"/>
        <s v="Montreal"/>
        <s v="Cupertino"/>
        <s v="Melbourne"/>
        <s v="Philadelphia"/>
        <s v="Kuala Lumpur"/>
        <s v="Barcelona"/>
        <s v="Cambridge"/>
        <s v="Irvine"/>
        <s v="Denver"/>
        <s v="Ottawa"/>
        <s v="San Mateo"/>
        <s v="Kirkland"/>
        <s v="Boulder"/>
        <s v="Orlando"/>
      </sharedItems>
    </cacheField>
    <cacheField name="Device_Category" numFmtId="0">
      <sharedItems/>
    </cacheField>
    <cacheField name="Browser" numFmtId="0">
      <sharedItems/>
    </cacheField>
    <cacheField name="Traffic_Source" numFmtId="0">
      <sharedItems count="3">
        <s v="Google"/>
        <s v="(Direct)"/>
        <s v="YouTube"/>
      </sharedItems>
    </cacheField>
    <cacheField name="PageViews" numFmtId="1">
      <sharedItems containsSemiMixedTypes="0" containsString="0" containsNumber="1" containsInteger="1" minValue="4" maxValue="169"/>
    </cacheField>
    <cacheField name="Transaction" numFmtId="1">
      <sharedItems containsSemiMixedTypes="0" containsString="0" containsNumber="1" containsInteger="1" minValue="1" maxValue="2"/>
    </cacheField>
    <cacheField name="Revenue" numFmtId="164">
      <sharedItems containsSemiMixedTypes="0" containsString="0" containsNumber="1" minValue="0.04" maxValue="1295"/>
    </cacheField>
    <cacheField name="Device_type" numFmtId="0">
      <sharedItems/>
    </cacheField>
    <cacheField name="Revenue_Per_Pageview" numFmtId="164">
      <sharedItems containsSemiMixedTypes="0" containsString="0" containsNumber="1" minValue="1.1764705882352942E-3" maxValue="53.727777777777781"/>
    </cacheField>
    <cacheField name="Day Of Week" numFmtId="0">
      <sharedItems count="7">
        <s v="Friday"/>
        <s v="Wednesday"/>
        <s v="Sunday"/>
        <s v="Monday"/>
        <s v="Thursday"/>
        <s v="Saturday"/>
        <s v="Tuesday"/>
      </sharedItems>
    </cacheField>
    <cacheField name="Revenue_Segment" numFmtId="0">
      <sharedItems count="3">
        <s v="Low"/>
        <s v="Medium"/>
        <s v="High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25">
  <r>
    <n v="1471650648"/>
    <d v="2016-08-19T00:00:00"/>
    <s v="United States"/>
    <x v="0"/>
    <s v="Mobile"/>
    <s v="Chrome"/>
    <x v="0"/>
    <n v="34"/>
    <n v="1"/>
    <n v="0.04"/>
    <s v="Mobile_User"/>
    <n v="1.1764705882352942E-3"/>
    <x v="0"/>
    <x v="0"/>
  </r>
  <r>
    <n v="1471470275"/>
    <d v="2016-08-17T00:00:00"/>
    <s v="United States"/>
    <x v="0"/>
    <s v="Mobile"/>
    <s v="Chrome"/>
    <x v="1"/>
    <n v="21"/>
    <n v="1"/>
    <n v="1.47"/>
    <s v="Mobile_User"/>
    <n v="6.9999999999999993E-2"/>
    <x v="1"/>
    <x v="0"/>
  </r>
  <r>
    <n v="1486618960"/>
    <d v="2017-02-08T00:00:00"/>
    <s v="United States"/>
    <x v="1"/>
    <s v="Mobile"/>
    <s v="Chrome"/>
    <x v="1"/>
    <n v="18"/>
    <n v="1"/>
    <n v="1.5"/>
    <s v="Mobile_User"/>
    <n v="8.3333333333333329E-2"/>
    <x v="1"/>
    <x v="0"/>
  </r>
  <r>
    <n v="1488148550"/>
    <d v="2017-02-26T00:00:00"/>
    <s v="United States"/>
    <x v="0"/>
    <s v="Mobile"/>
    <s v="Chrome"/>
    <x v="0"/>
    <n v="18"/>
    <n v="1"/>
    <n v="1.5"/>
    <s v="Mobile_User"/>
    <n v="8.3333333333333329E-2"/>
    <x v="2"/>
    <x v="0"/>
  </r>
  <r>
    <n v="1496679022"/>
    <d v="2017-06-05T00:00:00"/>
    <s v="United States"/>
    <x v="0"/>
    <s v="Mobile"/>
    <s v="Chrome"/>
    <x v="0"/>
    <n v="14"/>
    <n v="1"/>
    <n v="1.5"/>
    <s v="Mobile_User"/>
    <n v="0.10714285714285714"/>
    <x v="3"/>
    <x v="0"/>
  </r>
  <r>
    <n v="1475118694"/>
    <d v="2016-09-28T00:00:00"/>
    <s v="United States"/>
    <x v="0"/>
    <s v="Mobile"/>
    <s v="Chrome"/>
    <x v="1"/>
    <n v="11"/>
    <n v="1"/>
    <n v="1.5"/>
    <s v="Mobile_User"/>
    <n v="0.13636363636363635"/>
    <x v="1"/>
    <x v="0"/>
  </r>
  <r>
    <n v="1476025969"/>
    <d v="2016-10-09T00:00:00"/>
    <s v="United States"/>
    <x v="2"/>
    <s v="Mobile"/>
    <s v="Safari"/>
    <x v="1"/>
    <n v="19"/>
    <n v="1"/>
    <n v="1.99"/>
    <s v="Mobile_User"/>
    <n v="0.10473684210526316"/>
    <x v="2"/>
    <x v="0"/>
  </r>
  <r>
    <n v="1490774311"/>
    <d v="2017-03-29T00:00:00"/>
    <s v="United States"/>
    <x v="1"/>
    <s v="Mobile"/>
    <s v="Safari"/>
    <x v="1"/>
    <n v="20"/>
    <n v="1"/>
    <n v="1.99"/>
    <s v="Mobile_User"/>
    <n v="9.9500000000000005E-2"/>
    <x v="1"/>
    <x v="0"/>
  </r>
  <r>
    <n v="1490206990"/>
    <d v="2017-03-22T00:00:00"/>
    <s v="United States"/>
    <x v="0"/>
    <s v="Mobile"/>
    <s v="Safari"/>
    <x v="1"/>
    <n v="11"/>
    <n v="1"/>
    <n v="1.99"/>
    <s v="Mobile_User"/>
    <n v="0.18090909090909091"/>
    <x v="1"/>
    <x v="0"/>
  </r>
  <r>
    <n v="1499974599"/>
    <d v="2017-07-13T00:00:00"/>
    <s v="United States"/>
    <x v="3"/>
    <s v="Mobile"/>
    <s v="Chrome"/>
    <x v="0"/>
    <n v="12"/>
    <n v="1"/>
    <n v="1.99"/>
    <s v="Mobile_User"/>
    <n v="0.16583333333333333"/>
    <x v="4"/>
    <x v="0"/>
  </r>
  <r>
    <n v="1492881759"/>
    <d v="2017-04-22T00:00:00"/>
    <s v="United States"/>
    <x v="1"/>
    <s v="Mobile"/>
    <s v="Chrome"/>
    <x v="0"/>
    <n v="18"/>
    <n v="1"/>
    <n v="1.99"/>
    <s v="Mobile_User"/>
    <n v="0.11055555555555556"/>
    <x v="5"/>
    <x v="0"/>
  </r>
  <r>
    <n v="1477596206"/>
    <d v="2016-10-27T00:00:00"/>
    <s v="United States"/>
    <x v="2"/>
    <s v="Mobile"/>
    <s v="Safari"/>
    <x v="0"/>
    <n v="17"/>
    <n v="1"/>
    <n v="1.99"/>
    <s v="Mobile_User"/>
    <n v="0.11705882352941177"/>
    <x v="4"/>
    <x v="0"/>
  </r>
  <r>
    <n v="1492211756"/>
    <d v="2017-04-14T00:00:00"/>
    <s v="United States"/>
    <x v="0"/>
    <s v="Mobile"/>
    <s v="Chrome"/>
    <x v="1"/>
    <n v="14"/>
    <n v="1"/>
    <n v="1.99"/>
    <s v="Mobile_User"/>
    <n v="0.14214285714285715"/>
    <x v="0"/>
    <x v="0"/>
  </r>
  <r>
    <n v="1482976271"/>
    <d v="2016-12-28T00:00:00"/>
    <s v="United States"/>
    <x v="4"/>
    <s v="Mobile"/>
    <s v="Chrome"/>
    <x v="0"/>
    <n v="38"/>
    <n v="1"/>
    <n v="1.99"/>
    <s v="Mobile_User"/>
    <n v="5.2368421052631578E-2"/>
    <x v="1"/>
    <x v="0"/>
  </r>
  <r>
    <n v="1496331073"/>
    <d v="2017-06-01T00:00:00"/>
    <s v="United States"/>
    <x v="0"/>
    <s v="Mobile"/>
    <s v="Chrome"/>
    <x v="1"/>
    <n v="32"/>
    <n v="1"/>
    <n v="1.99"/>
    <s v="Mobile_User"/>
    <n v="6.21875E-2"/>
    <x v="4"/>
    <x v="0"/>
  </r>
  <r>
    <n v="1491324524"/>
    <d v="2017-04-04T00:00:00"/>
    <s v="United States"/>
    <x v="5"/>
    <s v="Mobile"/>
    <s v="Safari"/>
    <x v="0"/>
    <n v="14"/>
    <n v="1"/>
    <n v="1.99"/>
    <s v="Mobile_User"/>
    <n v="0.14214285714285715"/>
    <x v="6"/>
    <x v="0"/>
  </r>
  <r>
    <n v="1495929152"/>
    <d v="2017-05-27T00:00:00"/>
    <s v="United States"/>
    <x v="4"/>
    <s v="Mobile"/>
    <s v="Safari"/>
    <x v="0"/>
    <n v="13"/>
    <n v="1"/>
    <n v="1.99"/>
    <s v="Mobile_User"/>
    <n v="0.15307692307692308"/>
    <x v="5"/>
    <x v="0"/>
  </r>
  <r>
    <n v="1493680066"/>
    <d v="2017-05-01T00:00:00"/>
    <s v="United States"/>
    <x v="2"/>
    <s v="Mobile"/>
    <s v="Chrome"/>
    <x v="1"/>
    <n v="37"/>
    <n v="1"/>
    <n v="1.99"/>
    <s v="Mobile_User"/>
    <n v="5.3783783783783783E-2"/>
    <x v="3"/>
    <x v="0"/>
  </r>
  <r>
    <n v="1489895767"/>
    <d v="2017-03-18T00:00:00"/>
    <s v="United States"/>
    <x v="0"/>
    <s v="Mobile"/>
    <s v="Safari"/>
    <x v="1"/>
    <n v="14"/>
    <n v="1"/>
    <n v="1.99"/>
    <s v="Mobile_User"/>
    <n v="0.14214285714285715"/>
    <x v="5"/>
    <x v="0"/>
  </r>
  <r>
    <n v="1485181174"/>
    <d v="2017-01-23T00:00:00"/>
    <s v="United States"/>
    <x v="6"/>
    <s v="Mobile"/>
    <s v="Chrome"/>
    <x v="1"/>
    <n v="13"/>
    <n v="1"/>
    <n v="1.99"/>
    <s v="Mobile_User"/>
    <n v="0.15307692307692308"/>
    <x v="3"/>
    <x v="0"/>
  </r>
  <r>
    <n v="1501540907"/>
    <d v="2017-07-31T00:00:00"/>
    <s v="United States"/>
    <x v="7"/>
    <s v="Mobile"/>
    <s v="Safari"/>
    <x v="1"/>
    <n v="14"/>
    <n v="1"/>
    <n v="1.99"/>
    <s v="Mobile_User"/>
    <n v="0.14214285714285715"/>
    <x v="3"/>
    <x v="0"/>
  </r>
  <r>
    <n v="1474963826"/>
    <d v="2016-09-27T00:00:00"/>
    <s v="United States"/>
    <x v="0"/>
    <s v="Mobile"/>
    <s v="Chrome"/>
    <x v="1"/>
    <n v="72"/>
    <n v="1"/>
    <n v="2.4900000000000002"/>
    <s v="Mobile_User"/>
    <n v="3.4583333333333334E-2"/>
    <x v="6"/>
    <x v="0"/>
  </r>
  <r>
    <n v="1485199595"/>
    <d v="2017-01-23T00:00:00"/>
    <s v="United States"/>
    <x v="0"/>
    <s v="Mobile"/>
    <s v="Safari"/>
    <x v="1"/>
    <n v="29"/>
    <n v="1"/>
    <n v="2.5"/>
    <s v="Mobile_User"/>
    <n v="8.6206896551724144E-2"/>
    <x v="3"/>
    <x v="0"/>
  </r>
  <r>
    <n v="1472532051"/>
    <d v="2016-08-29T00:00:00"/>
    <s v="United States"/>
    <x v="0"/>
    <s v="Mobile"/>
    <s v="Chrome"/>
    <x v="1"/>
    <n v="89"/>
    <n v="1"/>
    <n v="2.5299999999999998"/>
    <s v="Mobile_User"/>
    <n v="2.8426966292134828E-2"/>
    <x v="3"/>
    <x v="0"/>
  </r>
  <r>
    <n v="1500857712"/>
    <d v="2017-07-23T00:00:00"/>
    <s v="United States"/>
    <x v="0"/>
    <s v="Mobile"/>
    <s v="Safari"/>
    <x v="1"/>
    <n v="22"/>
    <n v="1"/>
    <n v="2.99"/>
    <s v="Mobile_User"/>
    <n v="0.13590909090909092"/>
    <x v="2"/>
    <x v="0"/>
  </r>
  <r>
    <n v="1479098765"/>
    <d v="2016-11-13T00:00:00"/>
    <s v="United States"/>
    <x v="0"/>
    <s v="Mobile"/>
    <s v="Chrome"/>
    <x v="1"/>
    <n v="9"/>
    <n v="1"/>
    <n v="2.99"/>
    <s v="Mobile_User"/>
    <n v="0.33222222222222225"/>
    <x v="2"/>
    <x v="0"/>
  </r>
  <r>
    <n v="1496674423"/>
    <d v="2017-06-05T00:00:00"/>
    <s v="United States"/>
    <x v="0"/>
    <s v="Mobile"/>
    <s v="Safari"/>
    <x v="1"/>
    <n v="17"/>
    <n v="1"/>
    <n v="2.99"/>
    <s v="Mobile_User"/>
    <n v="0.17588235294117649"/>
    <x v="3"/>
    <x v="0"/>
  </r>
  <r>
    <n v="1501613798"/>
    <d v="2017-08-01T00:00:00"/>
    <s v="Finland"/>
    <x v="0"/>
    <s v="Mobile"/>
    <s v="Chrome"/>
    <x v="1"/>
    <n v="18"/>
    <n v="1"/>
    <n v="2.99"/>
    <s v="Mobile_User"/>
    <n v="0.16611111111111113"/>
    <x v="6"/>
    <x v="0"/>
  </r>
  <r>
    <n v="1485752084"/>
    <d v="2017-01-29T00:00:00"/>
    <s v="United States"/>
    <x v="0"/>
    <s v="Mobile"/>
    <s v="Safari"/>
    <x v="1"/>
    <n v="71"/>
    <n v="1"/>
    <n v="3.24"/>
    <s v="Mobile_User"/>
    <n v="4.5633802816901409E-2"/>
    <x v="2"/>
    <x v="0"/>
  </r>
  <r>
    <n v="1478311213"/>
    <d v="2016-11-04T00:00:00"/>
    <s v="United States"/>
    <x v="0"/>
    <s v="Mobile"/>
    <s v="Chrome"/>
    <x v="1"/>
    <n v="28"/>
    <n v="1"/>
    <n v="3.49"/>
    <s v="Mobile_User"/>
    <n v="0.12464285714285715"/>
    <x v="0"/>
    <x v="0"/>
  </r>
  <r>
    <n v="1479461426"/>
    <d v="2016-11-18T00:00:00"/>
    <s v="United States"/>
    <x v="2"/>
    <s v="Mobile"/>
    <s v="Safari"/>
    <x v="1"/>
    <n v="27"/>
    <n v="1"/>
    <n v="3.5"/>
    <s v="Mobile_User"/>
    <n v="0.12962962962962962"/>
    <x v="0"/>
    <x v="0"/>
  </r>
  <r>
    <n v="1470339495"/>
    <d v="2016-08-04T00:00:00"/>
    <s v="United States"/>
    <x v="8"/>
    <s v="Mobile"/>
    <s v="Chrome"/>
    <x v="0"/>
    <n v="13"/>
    <n v="1"/>
    <n v="3.5"/>
    <s v="Mobile_User"/>
    <n v="0.26923076923076922"/>
    <x v="4"/>
    <x v="0"/>
  </r>
  <r>
    <n v="1475878255"/>
    <d v="2016-10-07T00:00:00"/>
    <s v="United States"/>
    <x v="0"/>
    <s v="Mobile"/>
    <s v="Safari"/>
    <x v="0"/>
    <n v="16"/>
    <n v="1"/>
    <n v="3.5"/>
    <s v="Mobile_User"/>
    <n v="0.21875"/>
    <x v="0"/>
    <x v="0"/>
  </r>
  <r>
    <n v="1497651320"/>
    <d v="2017-06-16T00:00:00"/>
    <s v="United States"/>
    <x v="0"/>
    <s v="Mobile"/>
    <s v="Safari"/>
    <x v="1"/>
    <n v="25"/>
    <n v="1"/>
    <n v="3.5"/>
    <s v="Mobile_User"/>
    <n v="0.14000000000000001"/>
    <x v="0"/>
    <x v="0"/>
  </r>
  <r>
    <n v="1495962117"/>
    <d v="2017-05-28T00:00:00"/>
    <s v="United States"/>
    <x v="0"/>
    <s v="Mobile"/>
    <s v="Chrome"/>
    <x v="0"/>
    <n v="19"/>
    <n v="1"/>
    <n v="3.5"/>
    <s v="Mobile_User"/>
    <n v="0.18421052631578946"/>
    <x v="2"/>
    <x v="0"/>
  </r>
  <r>
    <n v="1496863034"/>
    <d v="2017-06-07T00:00:00"/>
    <s v="United States"/>
    <x v="0"/>
    <s v="Mobile"/>
    <s v="Chrome"/>
    <x v="1"/>
    <n v="26"/>
    <n v="1"/>
    <n v="3.98"/>
    <s v="Mobile_User"/>
    <n v="0.15307692307692308"/>
    <x v="1"/>
    <x v="0"/>
  </r>
  <r>
    <n v="1487633312"/>
    <d v="2017-02-20T00:00:00"/>
    <s v="United States"/>
    <x v="0"/>
    <s v="Mobile"/>
    <s v="Safari"/>
    <x v="1"/>
    <n v="15"/>
    <n v="1"/>
    <n v="3.98"/>
    <s v="Mobile_User"/>
    <n v="0.26533333333333331"/>
    <x v="3"/>
    <x v="0"/>
  </r>
  <r>
    <n v="1481927126"/>
    <d v="2016-12-16T00:00:00"/>
    <s v="United States"/>
    <x v="0"/>
    <s v="Mobile"/>
    <s v="Chrome"/>
    <x v="1"/>
    <n v="16"/>
    <n v="1"/>
    <n v="3.98"/>
    <s v="Mobile_User"/>
    <n v="0.24875"/>
    <x v="0"/>
    <x v="0"/>
  </r>
  <r>
    <n v="1486833315"/>
    <d v="2017-02-11T00:00:00"/>
    <s v="United States"/>
    <x v="8"/>
    <s v="Mobile"/>
    <s v="Chrome"/>
    <x v="1"/>
    <n v="27"/>
    <n v="1"/>
    <n v="3.98"/>
    <s v="Mobile_User"/>
    <n v="0.1474074074074074"/>
    <x v="5"/>
    <x v="0"/>
  </r>
  <r>
    <n v="1488662818"/>
    <d v="2017-03-04T00:00:00"/>
    <s v="United States"/>
    <x v="0"/>
    <s v="Mobile"/>
    <s v="Chrome"/>
    <x v="0"/>
    <n v="53"/>
    <n v="1"/>
    <n v="3.98"/>
    <s v="Mobile_User"/>
    <n v="7.5094339622641504E-2"/>
    <x v="5"/>
    <x v="0"/>
  </r>
  <r>
    <n v="1481934366"/>
    <d v="2016-12-16T00:00:00"/>
    <s v="United States"/>
    <x v="0"/>
    <s v="Mobile"/>
    <s v="Chrome"/>
    <x v="1"/>
    <n v="19"/>
    <n v="1"/>
    <n v="3.98"/>
    <s v="Mobile_User"/>
    <n v="0.20947368421052631"/>
    <x v="0"/>
    <x v="0"/>
  </r>
  <r>
    <n v="1484462565"/>
    <d v="2017-01-14T00:00:00"/>
    <s v="United States"/>
    <x v="2"/>
    <s v="Mobile"/>
    <s v="Chrome"/>
    <x v="1"/>
    <n v="27"/>
    <n v="1"/>
    <n v="3.98"/>
    <s v="Mobile_User"/>
    <n v="0.1474074074074074"/>
    <x v="5"/>
    <x v="0"/>
  </r>
  <r>
    <n v="1490230761"/>
    <d v="2017-03-22T00:00:00"/>
    <s v="United States"/>
    <x v="0"/>
    <s v="Mobile"/>
    <s v="Chrome"/>
    <x v="0"/>
    <n v="14"/>
    <n v="1"/>
    <n v="3.99"/>
    <s v="Mobile_User"/>
    <n v="0.28500000000000003"/>
    <x v="1"/>
    <x v="0"/>
  </r>
  <r>
    <n v="1476272304"/>
    <d v="2016-10-12T00:00:00"/>
    <s v="United States"/>
    <x v="4"/>
    <s v="Mobile"/>
    <s v="Safari"/>
    <x v="1"/>
    <n v="27"/>
    <n v="1"/>
    <n v="3.99"/>
    <s v="Mobile_User"/>
    <n v="0.14777777777777779"/>
    <x v="1"/>
    <x v="0"/>
  </r>
  <r>
    <n v="1494112842"/>
    <d v="2017-05-06T00:00:00"/>
    <s v="United States"/>
    <x v="0"/>
    <s v="Mobile"/>
    <s v="Chrome"/>
    <x v="1"/>
    <n v="21"/>
    <n v="1"/>
    <n v="4.9800000000000004"/>
    <s v="Mobile_User"/>
    <n v="0.23714285714285716"/>
    <x v="5"/>
    <x v="0"/>
  </r>
  <r>
    <n v="1481754553"/>
    <d v="2016-12-14T00:00:00"/>
    <s v="United States"/>
    <x v="0"/>
    <s v="Mobile"/>
    <s v="Safari"/>
    <x v="1"/>
    <n v="10"/>
    <n v="1"/>
    <n v="4.9800000000000004"/>
    <s v="Mobile_User"/>
    <n v="0.49800000000000005"/>
    <x v="1"/>
    <x v="0"/>
  </r>
  <r>
    <n v="1500484069"/>
    <d v="2017-07-19T00:00:00"/>
    <s v="United States"/>
    <x v="0"/>
    <s v="Mobile"/>
    <s v="Safari"/>
    <x v="0"/>
    <n v="35"/>
    <n v="1"/>
    <n v="4.99"/>
    <s v="Mobile_User"/>
    <n v="0.14257142857142857"/>
    <x v="1"/>
    <x v="0"/>
  </r>
  <r>
    <n v="1474110388"/>
    <d v="2016-09-17T00:00:00"/>
    <s v="United States"/>
    <x v="9"/>
    <s v="Mobile"/>
    <s v="Chrome"/>
    <x v="0"/>
    <n v="29"/>
    <n v="1"/>
    <n v="4.99"/>
    <s v="Mobile_User"/>
    <n v="0.17206896551724138"/>
    <x v="5"/>
    <x v="0"/>
  </r>
  <r>
    <n v="1498345990"/>
    <d v="2017-06-24T00:00:00"/>
    <s v="United States"/>
    <x v="2"/>
    <s v="Mobile"/>
    <s v="Chrome"/>
    <x v="1"/>
    <n v="25"/>
    <n v="1"/>
    <n v="4.99"/>
    <s v="Mobile_User"/>
    <n v="0.1996"/>
    <x v="5"/>
    <x v="0"/>
  </r>
  <r>
    <n v="1501451904"/>
    <d v="2017-07-30T00:00:00"/>
    <s v="United States"/>
    <x v="0"/>
    <s v="Mobile"/>
    <s v="Chrome"/>
    <x v="1"/>
    <n v="24"/>
    <n v="1"/>
    <n v="5.7"/>
    <s v="Mobile_User"/>
    <n v="0.23750000000000002"/>
    <x v="2"/>
    <x v="0"/>
  </r>
  <r>
    <n v="1482005758"/>
    <d v="2016-12-17T00:00:00"/>
    <s v="United States"/>
    <x v="10"/>
    <s v="Mobile"/>
    <s v="Safari"/>
    <x v="1"/>
    <n v="11"/>
    <n v="1"/>
    <n v="5.97"/>
    <s v="Mobile_User"/>
    <n v="0.54272727272727272"/>
    <x v="5"/>
    <x v="0"/>
  </r>
  <r>
    <n v="1478654308"/>
    <d v="2016-11-08T00:00:00"/>
    <s v="United States"/>
    <x v="1"/>
    <s v="Mobile"/>
    <s v="Safari"/>
    <x v="1"/>
    <n v="18"/>
    <n v="1"/>
    <n v="5.97"/>
    <s v="Mobile_User"/>
    <n v="0.33166666666666667"/>
    <x v="6"/>
    <x v="0"/>
  </r>
  <r>
    <n v="1485802555"/>
    <d v="2017-01-30T00:00:00"/>
    <s v="United States"/>
    <x v="1"/>
    <s v="Mobile"/>
    <s v="Safari (in-app)"/>
    <x v="1"/>
    <n v="21"/>
    <n v="1"/>
    <n v="5.97"/>
    <s v="Mobile_User"/>
    <n v="0.28428571428571425"/>
    <x v="3"/>
    <x v="0"/>
  </r>
  <r>
    <n v="1491246721"/>
    <d v="2017-04-03T00:00:00"/>
    <s v="United States"/>
    <x v="0"/>
    <s v="Mobile"/>
    <s v="Chrome"/>
    <x v="0"/>
    <n v="20"/>
    <n v="1"/>
    <n v="5.99"/>
    <s v="Mobile_User"/>
    <n v="0.29949999999999999"/>
    <x v="3"/>
    <x v="0"/>
  </r>
  <r>
    <n v="1501136533"/>
    <d v="2017-07-26T00:00:00"/>
    <s v="United States"/>
    <x v="0"/>
    <s v="Mobile"/>
    <s v="Safari"/>
    <x v="0"/>
    <n v="11"/>
    <n v="1"/>
    <n v="6"/>
    <s v="Mobile_User"/>
    <n v="0.54545454545454541"/>
    <x v="1"/>
    <x v="0"/>
  </r>
  <r>
    <n v="1499927321"/>
    <d v="2017-07-13T00:00:00"/>
    <s v="United States"/>
    <x v="0"/>
    <s v="Mobile"/>
    <s v="Chrome"/>
    <x v="0"/>
    <n v="4"/>
    <n v="1"/>
    <n v="6.49"/>
    <s v="Mobile_User"/>
    <n v="1.6225000000000001"/>
    <x v="4"/>
    <x v="0"/>
  </r>
  <r>
    <n v="1485554158"/>
    <d v="2017-01-27T00:00:00"/>
    <s v="United States"/>
    <x v="0"/>
    <s v="Mobile"/>
    <s v="Chrome"/>
    <x v="1"/>
    <n v="45"/>
    <n v="1"/>
    <n v="6.97"/>
    <s v="Mobile_User"/>
    <n v="0.15488888888888888"/>
    <x v="0"/>
    <x v="0"/>
  </r>
  <r>
    <n v="1495294148"/>
    <d v="2017-05-20T00:00:00"/>
    <s v="United States"/>
    <x v="4"/>
    <s v="Mobile"/>
    <s v="Safari"/>
    <x v="0"/>
    <n v="17"/>
    <n v="1"/>
    <n v="6.98"/>
    <s v="Mobile_User"/>
    <n v="0.4105882352941177"/>
    <x v="5"/>
    <x v="0"/>
  </r>
  <r>
    <n v="1501259606"/>
    <d v="2017-07-28T00:00:00"/>
    <s v="United States"/>
    <x v="0"/>
    <s v="Mobile"/>
    <s v="Chrome"/>
    <x v="0"/>
    <n v="20"/>
    <n v="1"/>
    <n v="6.99"/>
    <s v="Mobile_User"/>
    <n v="0.34950000000000003"/>
    <x v="0"/>
    <x v="0"/>
  </r>
  <r>
    <n v="1476379537"/>
    <d v="2016-10-13T00:00:00"/>
    <s v="United States"/>
    <x v="11"/>
    <s v="Mobile"/>
    <s v="Safari"/>
    <x v="0"/>
    <n v="57"/>
    <n v="1"/>
    <n v="6.99"/>
    <s v="Mobile_User"/>
    <n v="0.12263157894736842"/>
    <x v="4"/>
    <x v="0"/>
  </r>
  <r>
    <n v="1498271478"/>
    <d v="2017-06-23T00:00:00"/>
    <s v="United States"/>
    <x v="0"/>
    <s v="Mobile"/>
    <s v="Safari"/>
    <x v="1"/>
    <n v="16"/>
    <n v="1"/>
    <n v="6.99"/>
    <s v="Mobile_User"/>
    <n v="0.43687500000000001"/>
    <x v="0"/>
    <x v="0"/>
  </r>
  <r>
    <n v="1495304918"/>
    <d v="2017-05-20T00:00:00"/>
    <s v="United States"/>
    <x v="0"/>
    <s v="Mobile"/>
    <s v="Safari"/>
    <x v="0"/>
    <n v="20"/>
    <n v="1"/>
    <n v="6.99"/>
    <s v="Mobile_User"/>
    <n v="0.34950000000000003"/>
    <x v="5"/>
    <x v="0"/>
  </r>
  <r>
    <n v="1482457052"/>
    <d v="2016-12-22T00:00:00"/>
    <s v="United States"/>
    <x v="0"/>
    <s v="Mobile"/>
    <s v="Safari"/>
    <x v="1"/>
    <n v="50"/>
    <n v="1"/>
    <n v="6.99"/>
    <s v="Mobile_User"/>
    <n v="0.13980000000000001"/>
    <x v="4"/>
    <x v="0"/>
  </r>
  <r>
    <n v="1495390393"/>
    <d v="2017-05-21T00:00:00"/>
    <s v="United States"/>
    <x v="0"/>
    <s v="Mobile"/>
    <s v="Safari"/>
    <x v="1"/>
    <n v="11"/>
    <n v="1"/>
    <n v="6.99"/>
    <s v="Mobile_User"/>
    <n v="0.63545454545454549"/>
    <x v="2"/>
    <x v="0"/>
  </r>
  <r>
    <n v="1485904887"/>
    <d v="2017-01-31T00:00:00"/>
    <s v="United States"/>
    <x v="0"/>
    <s v="Mobile"/>
    <s v="Chrome"/>
    <x v="1"/>
    <n v="9"/>
    <n v="1"/>
    <n v="6.99"/>
    <s v="Mobile_User"/>
    <n v="0.77666666666666673"/>
    <x v="6"/>
    <x v="0"/>
  </r>
  <r>
    <n v="1485402328"/>
    <d v="2017-01-25T00:00:00"/>
    <s v="United States"/>
    <x v="0"/>
    <s v="Mobile"/>
    <s v="Safari"/>
    <x v="1"/>
    <n v="10"/>
    <n v="1"/>
    <n v="6.99"/>
    <s v="Mobile_User"/>
    <n v="0.69900000000000007"/>
    <x v="1"/>
    <x v="0"/>
  </r>
  <r>
    <n v="1495327322"/>
    <d v="2017-05-20T00:00:00"/>
    <s v="United States"/>
    <x v="0"/>
    <s v="Mobile"/>
    <s v="Safari (in-app)"/>
    <x v="1"/>
    <n v="11"/>
    <n v="1"/>
    <n v="6.99"/>
    <s v="Mobile_User"/>
    <n v="0.63545454545454549"/>
    <x v="5"/>
    <x v="0"/>
  </r>
  <r>
    <n v="1495296937"/>
    <d v="2017-05-20T00:00:00"/>
    <s v="United States"/>
    <x v="0"/>
    <s v="Mobile"/>
    <s v="Safari (in-app)"/>
    <x v="1"/>
    <n v="13"/>
    <n v="1"/>
    <n v="6.99"/>
    <s v="Mobile_User"/>
    <n v="0.53769230769230769"/>
    <x v="5"/>
    <x v="0"/>
  </r>
  <r>
    <n v="1495302606"/>
    <d v="2017-05-20T00:00:00"/>
    <s v="United States"/>
    <x v="0"/>
    <s v="Mobile"/>
    <s v="Safari (in-app)"/>
    <x v="1"/>
    <n v="16"/>
    <n v="1"/>
    <n v="6.99"/>
    <s v="Mobile_User"/>
    <n v="0.43687500000000001"/>
    <x v="5"/>
    <x v="0"/>
  </r>
  <r>
    <n v="1485292180"/>
    <d v="2017-01-24T00:00:00"/>
    <s v="United States"/>
    <x v="0"/>
    <s v="Mobile"/>
    <s v="Chrome"/>
    <x v="1"/>
    <n v="12"/>
    <n v="1"/>
    <n v="6.99"/>
    <s v="Mobile_User"/>
    <n v="0.58250000000000002"/>
    <x v="6"/>
    <x v="0"/>
  </r>
  <r>
    <n v="1496466523"/>
    <d v="2017-06-02T00:00:00"/>
    <s v="United States"/>
    <x v="1"/>
    <s v="Mobile"/>
    <s v="Safari"/>
    <x v="1"/>
    <n v="17"/>
    <n v="1"/>
    <n v="6.99"/>
    <s v="Mobile_User"/>
    <n v="0.41117647058823531"/>
    <x v="0"/>
    <x v="0"/>
  </r>
  <r>
    <n v="1479439395"/>
    <d v="2016-11-17T00:00:00"/>
    <s v="United States"/>
    <x v="1"/>
    <s v="Mobile"/>
    <s v="Chrome"/>
    <x v="1"/>
    <n v="24"/>
    <n v="1"/>
    <n v="7"/>
    <s v="Mobile_User"/>
    <n v="0.29166666666666669"/>
    <x v="4"/>
    <x v="0"/>
  </r>
  <r>
    <n v="1500424373"/>
    <d v="2017-07-18T00:00:00"/>
    <s v="United States"/>
    <x v="2"/>
    <s v="Mobile"/>
    <s v="Safari"/>
    <x v="0"/>
    <n v="24"/>
    <n v="1"/>
    <n v="7.2"/>
    <s v="Mobile_User"/>
    <n v="0.3"/>
    <x v="6"/>
    <x v="0"/>
  </r>
  <r>
    <n v="1478415170"/>
    <d v="2016-11-06T00:00:00"/>
    <s v="United States"/>
    <x v="0"/>
    <s v="Mobile"/>
    <s v="Chrome"/>
    <x v="1"/>
    <n v="30"/>
    <n v="1"/>
    <n v="7.48"/>
    <s v="Mobile_User"/>
    <n v="0.24933333333333335"/>
    <x v="2"/>
    <x v="0"/>
  </r>
  <r>
    <n v="1501045827"/>
    <d v="2017-07-25T00:00:00"/>
    <s v="United States"/>
    <x v="12"/>
    <s v="Mobile"/>
    <s v="Chrome"/>
    <x v="0"/>
    <n v="31"/>
    <n v="1"/>
    <n v="7.5"/>
    <s v="Mobile_User"/>
    <n v="0.24193548387096775"/>
    <x v="6"/>
    <x v="0"/>
  </r>
  <r>
    <n v="1482257108"/>
    <d v="2016-12-20T00:00:00"/>
    <s v="United States"/>
    <x v="0"/>
    <s v="Mobile"/>
    <s v="Safari (in-app)"/>
    <x v="1"/>
    <n v="11"/>
    <n v="1"/>
    <n v="7.96"/>
    <s v="Mobile_User"/>
    <n v="0.72363636363636363"/>
    <x v="6"/>
    <x v="0"/>
  </r>
  <r>
    <n v="1489195765"/>
    <d v="2017-03-10T00:00:00"/>
    <s v="United States"/>
    <x v="0"/>
    <s v="Mobile"/>
    <s v="Chrome"/>
    <x v="1"/>
    <n v="34"/>
    <n v="1"/>
    <n v="7.96"/>
    <s v="Mobile_User"/>
    <n v="0.23411764705882354"/>
    <x v="0"/>
    <x v="0"/>
  </r>
  <r>
    <n v="1489987463"/>
    <d v="2017-03-19T00:00:00"/>
    <s v="United States"/>
    <x v="8"/>
    <s v="Mobile"/>
    <s v="Chrome"/>
    <x v="1"/>
    <n v="33"/>
    <n v="1"/>
    <n v="7.99"/>
    <s v="Mobile_User"/>
    <n v="0.24212121212121213"/>
    <x v="2"/>
    <x v="0"/>
  </r>
  <r>
    <n v="1487450421"/>
    <d v="2017-02-18T00:00:00"/>
    <s v="United States"/>
    <x v="0"/>
    <s v="Mobile"/>
    <s v="Chrome"/>
    <x v="1"/>
    <n v="15"/>
    <n v="1"/>
    <n v="7.99"/>
    <s v="Mobile_User"/>
    <n v="0.53266666666666673"/>
    <x v="5"/>
    <x v="0"/>
  </r>
  <r>
    <n v="1471982318"/>
    <d v="2016-08-23T00:00:00"/>
    <s v="United States"/>
    <x v="0"/>
    <s v="Mobile"/>
    <s v="Chrome"/>
    <x v="1"/>
    <n v="30"/>
    <n v="1"/>
    <n v="8.36"/>
    <s v="Mobile_User"/>
    <n v="0.27866666666666667"/>
    <x v="6"/>
    <x v="0"/>
  </r>
  <r>
    <n v="1479897941"/>
    <d v="2016-11-23T00:00:00"/>
    <s v="United States"/>
    <x v="0"/>
    <s v="Mobile"/>
    <s v="Chrome"/>
    <x v="1"/>
    <n v="26"/>
    <n v="1"/>
    <n v="8.5"/>
    <s v="Mobile_User"/>
    <n v="0.32692307692307693"/>
    <x v="1"/>
    <x v="0"/>
  </r>
  <r>
    <n v="1472665638"/>
    <d v="2016-08-31T00:00:00"/>
    <s v="United States"/>
    <x v="0"/>
    <s v="Mobile"/>
    <s v="Safari"/>
    <x v="1"/>
    <n v="12"/>
    <n v="1"/>
    <n v="8.68"/>
    <s v="Mobile_User"/>
    <n v="0.72333333333333327"/>
    <x v="1"/>
    <x v="0"/>
  </r>
  <r>
    <n v="1485478912"/>
    <d v="2017-01-26T00:00:00"/>
    <s v="United States"/>
    <x v="0"/>
    <s v="Mobile"/>
    <s v="Safari"/>
    <x v="1"/>
    <n v="9"/>
    <n v="1"/>
    <n v="8.98"/>
    <s v="Mobile_User"/>
    <n v="0.99777777777777787"/>
    <x v="4"/>
    <x v="0"/>
  </r>
  <r>
    <n v="1493300917"/>
    <d v="2017-04-27T00:00:00"/>
    <s v="United States"/>
    <x v="13"/>
    <s v="Mobile"/>
    <s v="Safari"/>
    <x v="0"/>
    <n v="41"/>
    <n v="1"/>
    <n v="8.98"/>
    <s v="Mobile_User"/>
    <n v="0.21902439024390244"/>
    <x v="4"/>
    <x v="0"/>
  </r>
  <r>
    <n v="1496351302"/>
    <d v="2017-06-01T00:00:00"/>
    <s v="United States"/>
    <x v="11"/>
    <s v="Mobile"/>
    <s v="Chrome"/>
    <x v="0"/>
    <n v="29"/>
    <n v="1"/>
    <n v="8.98"/>
    <s v="Mobile_User"/>
    <n v="0.30965517241379314"/>
    <x v="4"/>
    <x v="0"/>
  </r>
  <r>
    <n v="1490230836"/>
    <d v="2017-03-22T00:00:00"/>
    <s v="United States"/>
    <x v="0"/>
    <s v="Mobile"/>
    <s v="Safari"/>
    <x v="0"/>
    <n v="40"/>
    <n v="1"/>
    <n v="8.98"/>
    <s v="Mobile_User"/>
    <n v="0.22450000000000001"/>
    <x v="1"/>
    <x v="0"/>
  </r>
  <r>
    <n v="1494944694"/>
    <d v="2017-05-16T00:00:00"/>
    <s v="United States"/>
    <x v="4"/>
    <s v="Mobile"/>
    <s v="Safari"/>
    <x v="0"/>
    <n v="18"/>
    <n v="1"/>
    <n v="8.98"/>
    <s v="Mobile_User"/>
    <n v="0.49888888888888894"/>
    <x v="6"/>
    <x v="0"/>
  </r>
  <r>
    <n v="1489484836"/>
    <d v="2017-03-14T00:00:00"/>
    <s v="United States"/>
    <x v="13"/>
    <s v="Mobile"/>
    <s v="Safari"/>
    <x v="0"/>
    <n v="21"/>
    <n v="1"/>
    <n v="8.98"/>
    <s v="Mobile_User"/>
    <n v="0.42761904761904762"/>
    <x v="6"/>
    <x v="0"/>
  </r>
  <r>
    <n v="1492449129"/>
    <d v="2017-04-17T00:00:00"/>
    <s v="United States"/>
    <x v="0"/>
    <s v="Mobile"/>
    <s v="Safari"/>
    <x v="1"/>
    <n v="17"/>
    <n v="1"/>
    <n v="8.98"/>
    <s v="Mobile_User"/>
    <n v="0.52823529411764714"/>
    <x v="3"/>
    <x v="0"/>
  </r>
  <r>
    <n v="1479068994"/>
    <d v="2016-11-13T00:00:00"/>
    <s v="United States"/>
    <x v="8"/>
    <s v="Mobile"/>
    <s v="Chrome"/>
    <x v="1"/>
    <n v="19"/>
    <n v="1"/>
    <n v="8.99"/>
    <s v="Mobile_User"/>
    <n v="0.47315789473684211"/>
    <x v="2"/>
    <x v="0"/>
  </r>
  <r>
    <n v="1491355084"/>
    <d v="2017-04-04T00:00:00"/>
    <s v="United States"/>
    <x v="0"/>
    <s v="Mobile"/>
    <s v="Safari"/>
    <x v="1"/>
    <n v="10"/>
    <n v="1"/>
    <n v="8.99"/>
    <s v="Mobile_User"/>
    <n v="0.89900000000000002"/>
    <x v="6"/>
    <x v="0"/>
  </r>
  <r>
    <n v="1491137070"/>
    <d v="2017-04-02T00:00:00"/>
    <s v="United States"/>
    <x v="0"/>
    <s v="Mobile"/>
    <s v="Chrome"/>
    <x v="1"/>
    <n v="13"/>
    <n v="1"/>
    <n v="8.99"/>
    <s v="Mobile_User"/>
    <n v="0.69153846153846155"/>
    <x v="2"/>
    <x v="0"/>
  </r>
  <r>
    <n v="1492225509"/>
    <d v="2017-04-14T00:00:00"/>
    <s v="United States"/>
    <x v="0"/>
    <s v="Mobile"/>
    <s v="Chrome"/>
    <x v="0"/>
    <n v="19"/>
    <n v="1"/>
    <n v="8.99"/>
    <s v="Mobile_User"/>
    <n v="0.47315789473684211"/>
    <x v="0"/>
    <x v="0"/>
  </r>
  <r>
    <n v="1485355484"/>
    <d v="2017-01-25T00:00:00"/>
    <s v="United States"/>
    <x v="10"/>
    <s v="Mobile"/>
    <s v="Chrome"/>
    <x v="1"/>
    <n v="13"/>
    <n v="1"/>
    <n v="8.99"/>
    <s v="Mobile_User"/>
    <n v="0.69153846153846155"/>
    <x v="1"/>
    <x v="0"/>
  </r>
  <r>
    <n v="1491880844"/>
    <d v="2017-04-10T00:00:00"/>
    <s v="United States"/>
    <x v="2"/>
    <s v="Mobile"/>
    <s v="Chrome"/>
    <x v="1"/>
    <n v="12"/>
    <n v="1"/>
    <n v="8.99"/>
    <s v="Mobile_User"/>
    <n v="0.74916666666666665"/>
    <x v="3"/>
    <x v="0"/>
  </r>
  <r>
    <n v="1491416075"/>
    <d v="2017-04-05T00:00:00"/>
    <s v="United States"/>
    <x v="0"/>
    <s v="Mobile"/>
    <s v="Safari"/>
    <x v="1"/>
    <n v="12"/>
    <n v="1"/>
    <n v="8.99"/>
    <s v="Mobile_User"/>
    <n v="0.74916666666666665"/>
    <x v="1"/>
    <x v="0"/>
  </r>
  <r>
    <n v="1479913858"/>
    <d v="2016-11-23T00:00:00"/>
    <s v="United States"/>
    <x v="0"/>
    <s v="Mobile"/>
    <s v="Chrome"/>
    <x v="1"/>
    <n v="20"/>
    <n v="1"/>
    <n v="8.99"/>
    <s v="Mobile_User"/>
    <n v="0.44950000000000001"/>
    <x v="1"/>
    <x v="0"/>
  </r>
  <r>
    <n v="1482200494"/>
    <d v="2016-12-19T00:00:00"/>
    <s v="United States"/>
    <x v="14"/>
    <s v="Mobile"/>
    <s v="Android Webview"/>
    <x v="1"/>
    <n v="24"/>
    <n v="1"/>
    <n v="9.9499999999999993"/>
    <s v="Mobile_User"/>
    <n v="0.4145833333333333"/>
    <x v="3"/>
    <x v="0"/>
  </r>
  <r>
    <n v="1489097413"/>
    <d v="2017-03-09T00:00:00"/>
    <s v="United States"/>
    <x v="2"/>
    <s v="Mobile"/>
    <s v="Safari"/>
    <x v="0"/>
    <n v="56"/>
    <n v="1"/>
    <n v="9.9700000000000006"/>
    <s v="Mobile_User"/>
    <n v="0.1780357142857143"/>
    <x v="4"/>
    <x v="0"/>
  </r>
  <r>
    <n v="1498211423"/>
    <d v="2017-06-23T00:00:00"/>
    <s v="United States"/>
    <x v="0"/>
    <s v="Mobile"/>
    <s v="Chrome"/>
    <x v="1"/>
    <n v="28"/>
    <n v="1"/>
    <n v="9.98"/>
    <s v="Mobile_User"/>
    <n v="0.35642857142857143"/>
    <x v="0"/>
    <x v="0"/>
  </r>
  <r>
    <n v="1476052651"/>
    <d v="2016-10-09T00:00:00"/>
    <s v="United States"/>
    <x v="10"/>
    <s v="Mobile"/>
    <s v="Chrome"/>
    <x v="1"/>
    <n v="51"/>
    <n v="1"/>
    <n v="9.98"/>
    <s v="Mobile_User"/>
    <n v="0.19568627450980394"/>
    <x v="2"/>
    <x v="0"/>
  </r>
  <r>
    <n v="1479593100"/>
    <d v="2016-11-19T00:00:00"/>
    <s v="United States"/>
    <x v="0"/>
    <s v="Mobile"/>
    <s v="Chrome"/>
    <x v="0"/>
    <n v="15"/>
    <n v="1"/>
    <n v="9.98"/>
    <s v="Mobile_User"/>
    <n v="0.66533333333333333"/>
    <x v="5"/>
    <x v="0"/>
  </r>
  <r>
    <n v="1489164550"/>
    <d v="2017-03-10T00:00:00"/>
    <s v="United States"/>
    <x v="1"/>
    <s v="Mobile"/>
    <s v="Chrome"/>
    <x v="1"/>
    <n v="11"/>
    <n v="1"/>
    <n v="9.98"/>
    <s v="Mobile_User"/>
    <n v="0.90727272727272734"/>
    <x v="0"/>
    <x v="0"/>
  </r>
  <r>
    <n v="1500521673"/>
    <d v="2017-07-19T00:00:00"/>
    <s v="United States"/>
    <x v="0"/>
    <s v="Mobile"/>
    <s v="Safari"/>
    <x v="0"/>
    <n v="22"/>
    <n v="1"/>
    <n v="9.99"/>
    <s v="Mobile_User"/>
    <n v="0.4540909090909091"/>
    <x v="1"/>
    <x v="0"/>
  </r>
  <r>
    <n v="1477602078"/>
    <d v="2016-10-27T00:00:00"/>
    <s v="United States"/>
    <x v="10"/>
    <s v="Mobile"/>
    <s v="Chrome"/>
    <x v="0"/>
    <n v="45"/>
    <n v="1"/>
    <n v="9.99"/>
    <s v="Mobile_User"/>
    <n v="0.222"/>
    <x v="4"/>
    <x v="0"/>
  </r>
  <r>
    <n v="1494566139"/>
    <d v="2017-05-11T00:00:00"/>
    <s v="United States"/>
    <x v="0"/>
    <s v="Mobile"/>
    <s v="Chrome"/>
    <x v="0"/>
    <n v="15"/>
    <n v="1"/>
    <n v="9.99"/>
    <s v="Mobile_User"/>
    <n v="0.66600000000000004"/>
    <x v="4"/>
    <x v="0"/>
  </r>
  <r>
    <n v="1492543413"/>
    <d v="2017-04-18T00:00:00"/>
    <s v="United States"/>
    <x v="15"/>
    <s v="Mobile"/>
    <s v="Chrome"/>
    <x v="0"/>
    <n v="16"/>
    <n v="1"/>
    <n v="9.99"/>
    <s v="Mobile_User"/>
    <n v="0.62437500000000001"/>
    <x v="6"/>
    <x v="0"/>
  </r>
  <r>
    <n v="1489510122"/>
    <d v="2017-03-14T00:00:00"/>
    <s v="United States"/>
    <x v="1"/>
    <s v="Mobile"/>
    <s v="Chrome"/>
    <x v="0"/>
    <n v="16"/>
    <n v="1"/>
    <n v="9.99"/>
    <s v="Mobile_User"/>
    <n v="0.62437500000000001"/>
    <x v="6"/>
    <x v="0"/>
  </r>
  <r>
    <n v="1473386859"/>
    <d v="2016-09-08T00:00:00"/>
    <s v="United States"/>
    <x v="0"/>
    <s v="Mobile"/>
    <s v="Chrome"/>
    <x v="0"/>
    <n v="43"/>
    <n v="1"/>
    <n v="9.99"/>
    <s v="Mobile_User"/>
    <n v="0.23232558139534884"/>
    <x v="4"/>
    <x v="0"/>
  </r>
  <r>
    <n v="1471402244"/>
    <d v="2016-08-16T00:00:00"/>
    <s v="United States"/>
    <x v="10"/>
    <s v="Mobile"/>
    <s v="Safari"/>
    <x v="0"/>
    <n v="30"/>
    <n v="1"/>
    <n v="10.26"/>
    <s v="Mobile_User"/>
    <n v="0.34199999999999997"/>
    <x v="6"/>
    <x v="0"/>
  </r>
  <r>
    <n v="1500441678"/>
    <d v="2017-07-18T00:00:00"/>
    <s v="United States"/>
    <x v="0"/>
    <s v="Mobile"/>
    <s v="Chrome"/>
    <x v="0"/>
    <n v="18"/>
    <n v="1"/>
    <n v="10.48"/>
    <s v="Mobile_User"/>
    <n v="0.5822222222222222"/>
    <x v="6"/>
    <x v="0"/>
  </r>
  <r>
    <n v="1483463514"/>
    <d v="2017-01-03T00:00:00"/>
    <s v="Mexico"/>
    <x v="0"/>
    <s v="Mobile"/>
    <s v="Chrome"/>
    <x v="1"/>
    <n v="21"/>
    <n v="1"/>
    <n v="10.5"/>
    <s v="Mobile_User"/>
    <n v="0.5"/>
    <x v="6"/>
    <x v="0"/>
  </r>
  <r>
    <n v="1481928277"/>
    <d v="2016-12-16T00:00:00"/>
    <s v="United States"/>
    <x v="0"/>
    <s v="Mobile"/>
    <s v="Safari (in-app)"/>
    <x v="1"/>
    <n v="13"/>
    <n v="1"/>
    <n v="10.97"/>
    <s v="Mobile_User"/>
    <n v="0.84384615384615391"/>
    <x v="0"/>
    <x v="0"/>
  </r>
  <r>
    <n v="1486571256"/>
    <d v="2017-02-08T00:00:00"/>
    <s v="United States"/>
    <x v="1"/>
    <s v="Mobile"/>
    <s v="Safari"/>
    <x v="1"/>
    <n v="14"/>
    <n v="1"/>
    <n v="10.99"/>
    <s v="Mobile_User"/>
    <n v="0.78500000000000003"/>
    <x v="1"/>
    <x v="0"/>
  </r>
  <r>
    <n v="1484443678"/>
    <d v="2017-01-14T00:00:00"/>
    <s v="United States"/>
    <x v="0"/>
    <s v="Mobile"/>
    <s v="Safari"/>
    <x v="1"/>
    <n v="27"/>
    <n v="1"/>
    <n v="10.99"/>
    <s v="Mobile_User"/>
    <n v="0.40703703703703703"/>
    <x v="5"/>
    <x v="0"/>
  </r>
  <r>
    <n v="1475323821"/>
    <d v="2016-10-01T00:00:00"/>
    <s v="United States"/>
    <x v="10"/>
    <s v="Mobile"/>
    <s v="Chrome"/>
    <x v="0"/>
    <n v="16"/>
    <n v="1"/>
    <n v="10.99"/>
    <s v="Mobile_User"/>
    <n v="0.68687500000000001"/>
    <x v="5"/>
    <x v="0"/>
  </r>
  <r>
    <n v="1495141083"/>
    <d v="2017-05-18T00:00:00"/>
    <s v="United States"/>
    <x v="3"/>
    <s v="Mobile"/>
    <s v="Safari"/>
    <x v="0"/>
    <n v="16"/>
    <n v="1"/>
    <n v="10.99"/>
    <s v="Mobile_User"/>
    <n v="0.68687500000000001"/>
    <x v="4"/>
    <x v="0"/>
  </r>
  <r>
    <n v="1485484006"/>
    <d v="2017-01-26T00:00:00"/>
    <s v="United States"/>
    <x v="16"/>
    <s v="Mobile"/>
    <s v="Safari"/>
    <x v="1"/>
    <n v="10"/>
    <n v="1"/>
    <n v="10.99"/>
    <s v="Mobile_User"/>
    <n v="1.099"/>
    <x v="4"/>
    <x v="0"/>
  </r>
  <r>
    <n v="1480619584"/>
    <d v="2016-12-01T00:00:00"/>
    <s v="United States"/>
    <x v="0"/>
    <s v="Mobile"/>
    <s v="Chrome"/>
    <x v="1"/>
    <n v="25"/>
    <n v="1"/>
    <n v="10.99"/>
    <s v="Mobile_User"/>
    <n v="0.43959999999999999"/>
    <x v="4"/>
    <x v="0"/>
  </r>
  <r>
    <n v="1493586054"/>
    <d v="2017-04-30T00:00:00"/>
    <s v="United States"/>
    <x v="0"/>
    <s v="Mobile"/>
    <s v="Chrome"/>
    <x v="0"/>
    <n v="37"/>
    <n v="1"/>
    <n v="10.99"/>
    <s v="Mobile_User"/>
    <n v="0.29702702702702705"/>
    <x v="2"/>
    <x v="0"/>
  </r>
  <r>
    <n v="1493316740"/>
    <d v="2017-04-27T00:00:00"/>
    <s v="United States"/>
    <x v="4"/>
    <s v="Mobile"/>
    <s v="Chrome"/>
    <x v="1"/>
    <n v="40"/>
    <n v="1"/>
    <n v="10.99"/>
    <s v="Mobile_User"/>
    <n v="0.27474999999999999"/>
    <x v="4"/>
    <x v="0"/>
  </r>
  <r>
    <n v="1489028491"/>
    <d v="2017-03-08T00:00:00"/>
    <s v="United States"/>
    <x v="17"/>
    <s v="Mobile"/>
    <s v="Safari"/>
    <x v="0"/>
    <n v="17"/>
    <n v="1"/>
    <n v="10.99"/>
    <s v="Mobile_User"/>
    <n v="0.64647058823529413"/>
    <x v="1"/>
    <x v="0"/>
  </r>
  <r>
    <n v="1478047480"/>
    <d v="2016-11-01T00:00:00"/>
    <s v="United States"/>
    <x v="0"/>
    <s v="Mobile"/>
    <s v="Safari"/>
    <x v="1"/>
    <n v="9"/>
    <n v="1"/>
    <n v="10.99"/>
    <s v="Mobile_User"/>
    <n v="1.221111111111111"/>
    <x v="6"/>
    <x v="0"/>
  </r>
  <r>
    <n v="1484515591"/>
    <d v="2017-01-15T00:00:00"/>
    <s v="United States"/>
    <x v="6"/>
    <s v="Mobile"/>
    <s v="Chrome"/>
    <x v="1"/>
    <n v="38"/>
    <n v="1"/>
    <n v="10.99"/>
    <s v="Mobile_User"/>
    <n v="0.28921052631578947"/>
    <x v="2"/>
    <x v="0"/>
  </r>
  <r>
    <n v="1478133140"/>
    <d v="2016-11-02T00:00:00"/>
    <s v="United States"/>
    <x v="1"/>
    <s v="Mobile"/>
    <s v="Chrome"/>
    <x v="1"/>
    <n v="21"/>
    <n v="1"/>
    <n v="10.99"/>
    <s v="Mobile_User"/>
    <n v="0.52333333333333332"/>
    <x v="1"/>
    <x v="0"/>
  </r>
  <r>
    <n v="1497745953"/>
    <d v="2017-06-17T00:00:00"/>
    <s v="United States"/>
    <x v="0"/>
    <s v="Mobile"/>
    <s v="Safari"/>
    <x v="1"/>
    <n v="18"/>
    <n v="1"/>
    <n v="10.99"/>
    <s v="Mobile_User"/>
    <n v="0.61055555555555552"/>
    <x v="5"/>
    <x v="0"/>
  </r>
  <r>
    <n v="1489722625"/>
    <d v="2017-03-16T00:00:00"/>
    <s v="United States"/>
    <x v="0"/>
    <s v="Mobile"/>
    <s v="Chrome"/>
    <x v="0"/>
    <n v="13"/>
    <n v="1"/>
    <n v="10.99"/>
    <s v="Mobile_User"/>
    <n v="0.8453846153846154"/>
    <x v="4"/>
    <x v="0"/>
  </r>
  <r>
    <n v="1492586329"/>
    <d v="2017-04-19T00:00:00"/>
    <s v="United States"/>
    <x v="0"/>
    <s v="Mobile"/>
    <s v="Chrome"/>
    <x v="0"/>
    <n v="13"/>
    <n v="1"/>
    <n v="10.99"/>
    <s v="Mobile_User"/>
    <n v="0.8453846153846154"/>
    <x v="1"/>
    <x v="0"/>
  </r>
  <r>
    <n v="1488695634"/>
    <d v="2017-03-04T00:00:00"/>
    <s v="Kazakhstan"/>
    <x v="0"/>
    <s v="Mobile"/>
    <s v="Safari"/>
    <x v="0"/>
    <n v="16"/>
    <n v="1"/>
    <n v="10.99"/>
    <s v="Mobile_User"/>
    <n v="0.68687500000000001"/>
    <x v="5"/>
    <x v="0"/>
  </r>
  <r>
    <n v="1486068695"/>
    <d v="2017-02-02T00:00:00"/>
    <s v="United States"/>
    <x v="0"/>
    <s v="Mobile"/>
    <s v="Safari"/>
    <x v="1"/>
    <n v="20"/>
    <n v="1"/>
    <n v="10.99"/>
    <s v="Mobile_User"/>
    <n v="0.54949999999999999"/>
    <x v="4"/>
    <x v="0"/>
  </r>
  <r>
    <n v="1484413414"/>
    <d v="2017-01-14T00:00:00"/>
    <s v="United States"/>
    <x v="0"/>
    <s v="Mobile"/>
    <s v="Safari"/>
    <x v="1"/>
    <n v="25"/>
    <n v="1"/>
    <n v="10.99"/>
    <s v="Mobile_User"/>
    <n v="0.43959999999999999"/>
    <x v="5"/>
    <x v="0"/>
  </r>
  <r>
    <n v="1489593423"/>
    <d v="2017-03-15T00:00:00"/>
    <s v="United States"/>
    <x v="4"/>
    <s v="Mobile"/>
    <s v="Safari"/>
    <x v="0"/>
    <n v="14"/>
    <n v="1"/>
    <n v="10.99"/>
    <s v="Mobile_User"/>
    <n v="0.78500000000000003"/>
    <x v="1"/>
    <x v="0"/>
  </r>
  <r>
    <n v="1482178410"/>
    <d v="2016-12-19T00:00:00"/>
    <s v="United States"/>
    <x v="0"/>
    <s v="Mobile"/>
    <s v="Safari"/>
    <x v="1"/>
    <n v="15"/>
    <n v="1"/>
    <n v="10.99"/>
    <s v="Mobile_User"/>
    <n v="0.73266666666666669"/>
    <x v="3"/>
    <x v="0"/>
  </r>
  <r>
    <n v="1491605027"/>
    <d v="2017-04-07T00:00:00"/>
    <s v="United States"/>
    <x v="0"/>
    <s v="Mobile"/>
    <s v="Chrome"/>
    <x v="0"/>
    <n v="35"/>
    <n v="1"/>
    <n v="10.99"/>
    <s v="Mobile_User"/>
    <n v="0.314"/>
    <x v="0"/>
    <x v="0"/>
  </r>
  <r>
    <n v="1499575804"/>
    <d v="2017-07-08T00:00:00"/>
    <s v="United States"/>
    <x v="13"/>
    <s v="Mobile"/>
    <s v="Safari"/>
    <x v="0"/>
    <n v="13"/>
    <n v="1"/>
    <n v="10.99"/>
    <s v="Mobile_User"/>
    <n v="0.8453846153846154"/>
    <x v="5"/>
    <x v="0"/>
  </r>
  <r>
    <n v="1482206313"/>
    <d v="2016-12-19T00:00:00"/>
    <s v="United States"/>
    <x v="0"/>
    <s v="Mobile"/>
    <s v="Chrome"/>
    <x v="1"/>
    <n v="10"/>
    <n v="1"/>
    <n v="10.99"/>
    <s v="Mobile_User"/>
    <n v="1.099"/>
    <x v="3"/>
    <x v="0"/>
  </r>
  <r>
    <n v="1500926348"/>
    <d v="2017-07-24T00:00:00"/>
    <s v="United States"/>
    <x v="0"/>
    <s v="Mobile"/>
    <s v="Chrome"/>
    <x v="0"/>
    <n v="17"/>
    <n v="1"/>
    <n v="10.99"/>
    <s v="Mobile_User"/>
    <n v="0.64647058823529413"/>
    <x v="3"/>
    <x v="0"/>
  </r>
  <r>
    <n v="1499575593"/>
    <d v="2017-07-08T00:00:00"/>
    <s v="United States"/>
    <x v="13"/>
    <s v="Mobile"/>
    <s v="Safari"/>
    <x v="0"/>
    <n v="13"/>
    <n v="1"/>
    <n v="10.99"/>
    <s v="Mobile_User"/>
    <n v="0.8453846153846154"/>
    <x v="5"/>
    <x v="0"/>
  </r>
  <r>
    <n v="1491164926"/>
    <d v="2017-04-02T00:00:00"/>
    <s v="United States"/>
    <x v="0"/>
    <s v="Mobile"/>
    <s v="Chrome"/>
    <x v="1"/>
    <n v="16"/>
    <n v="1"/>
    <n v="10.99"/>
    <s v="Mobile_User"/>
    <n v="0.68687500000000001"/>
    <x v="2"/>
    <x v="0"/>
  </r>
  <r>
    <n v="1484722538"/>
    <d v="2017-01-17T00:00:00"/>
    <s v="United States"/>
    <x v="0"/>
    <s v="Mobile"/>
    <s v="Chrome"/>
    <x v="1"/>
    <n v="10"/>
    <n v="1"/>
    <n v="10.99"/>
    <s v="Mobile_User"/>
    <n v="1.099"/>
    <x v="6"/>
    <x v="0"/>
  </r>
  <r>
    <n v="1485365822"/>
    <d v="2017-01-25T00:00:00"/>
    <s v="United States"/>
    <x v="4"/>
    <s v="Mobile"/>
    <s v="Safari"/>
    <x v="1"/>
    <n v="11"/>
    <n v="1"/>
    <n v="10.99"/>
    <s v="Mobile_User"/>
    <n v="0.99909090909090914"/>
    <x v="1"/>
    <x v="0"/>
  </r>
  <r>
    <n v="1486571908"/>
    <d v="2017-02-08T00:00:00"/>
    <s v="Anguilla"/>
    <x v="12"/>
    <s v="Mobile"/>
    <s v="Safari"/>
    <x v="1"/>
    <n v="15"/>
    <n v="1"/>
    <n v="10.99"/>
    <s v="Mobile_User"/>
    <n v="0.73266666666666669"/>
    <x v="1"/>
    <x v="0"/>
  </r>
  <r>
    <n v="1490409205"/>
    <d v="2017-03-24T00:00:00"/>
    <s v="United States"/>
    <x v="1"/>
    <s v="Mobile"/>
    <s v="Chrome"/>
    <x v="0"/>
    <n v="32"/>
    <n v="1"/>
    <n v="10.99"/>
    <s v="Mobile_User"/>
    <n v="0.34343750000000001"/>
    <x v="0"/>
    <x v="0"/>
  </r>
  <r>
    <n v="1488328765"/>
    <d v="2017-02-28T00:00:00"/>
    <s v="United States"/>
    <x v="0"/>
    <s v="Mobile"/>
    <s v="Safari"/>
    <x v="1"/>
    <n v="24"/>
    <n v="1"/>
    <n v="10.99"/>
    <s v="Mobile_User"/>
    <n v="0.45791666666666669"/>
    <x v="6"/>
    <x v="0"/>
  </r>
  <r>
    <n v="1492543092"/>
    <d v="2017-04-18T00:00:00"/>
    <s v="United States"/>
    <x v="13"/>
    <s v="Mobile"/>
    <s v="Safari"/>
    <x v="0"/>
    <n v="19"/>
    <n v="1"/>
    <n v="11.18"/>
    <s v="Mobile_User"/>
    <n v="0.58842105263157896"/>
    <x v="6"/>
    <x v="0"/>
  </r>
  <r>
    <n v="1501047204"/>
    <d v="2017-07-25T00:00:00"/>
    <s v="United States"/>
    <x v="2"/>
    <s v="Mobile"/>
    <s v="Safari"/>
    <x v="1"/>
    <n v="18"/>
    <n v="1"/>
    <n v="11.5"/>
    <s v="Mobile_User"/>
    <n v="0.63888888888888884"/>
    <x v="6"/>
    <x v="0"/>
  </r>
  <r>
    <n v="1486354894"/>
    <d v="2017-02-05T00:00:00"/>
    <s v="United States"/>
    <x v="0"/>
    <s v="Mobile"/>
    <s v="Safari"/>
    <x v="1"/>
    <n v="23"/>
    <n v="1"/>
    <n v="11.96"/>
    <s v="Mobile_User"/>
    <n v="0.52"/>
    <x v="2"/>
    <x v="0"/>
  </r>
  <r>
    <n v="1488896284"/>
    <d v="2017-03-07T00:00:00"/>
    <s v="United States"/>
    <x v="1"/>
    <s v="Mobile"/>
    <s v="Chrome"/>
    <x v="1"/>
    <n v="8"/>
    <n v="1"/>
    <n v="11.96"/>
    <s v="Mobile_User"/>
    <n v="1.4950000000000001"/>
    <x v="6"/>
    <x v="0"/>
  </r>
  <r>
    <n v="1474745644"/>
    <d v="2016-09-24T00:00:00"/>
    <s v="United States"/>
    <x v="0"/>
    <s v="Mobile"/>
    <s v="Safari"/>
    <x v="1"/>
    <n v="10"/>
    <n v="1"/>
    <n v="11.97"/>
    <s v="Mobile_User"/>
    <n v="1.1970000000000001"/>
    <x v="5"/>
    <x v="0"/>
  </r>
  <r>
    <n v="1500143929"/>
    <d v="2017-07-15T00:00:00"/>
    <s v="United States"/>
    <x v="18"/>
    <s v="Mobile"/>
    <s v="Chrome"/>
    <x v="1"/>
    <n v="26"/>
    <n v="1"/>
    <n v="12"/>
    <s v="Mobile_User"/>
    <n v="0.46153846153846156"/>
    <x v="5"/>
    <x v="0"/>
  </r>
  <r>
    <n v="1500462398"/>
    <d v="2017-07-19T00:00:00"/>
    <s v="United States"/>
    <x v="0"/>
    <s v="Mobile"/>
    <s v="Chrome"/>
    <x v="0"/>
    <n v="13"/>
    <n v="1"/>
    <n v="12"/>
    <s v="Mobile_User"/>
    <n v="0.92307692307692313"/>
    <x v="1"/>
    <x v="0"/>
  </r>
  <r>
    <n v="1471990833"/>
    <d v="2016-08-23T00:00:00"/>
    <s v="United States"/>
    <x v="19"/>
    <s v="Mobile"/>
    <s v="Safari"/>
    <x v="0"/>
    <n v="17"/>
    <n v="1"/>
    <n v="12.47"/>
    <s v="Mobile_User"/>
    <n v="0.73352941176470587"/>
    <x v="6"/>
    <x v="0"/>
  </r>
  <r>
    <n v="1488255501"/>
    <d v="2017-02-27T00:00:00"/>
    <s v="United States"/>
    <x v="0"/>
    <s v="Mobile"/>
    <s v="Chrome"/>
    <x v="0"/>
    <n v="54"/>
    <n v="1"/>
    <n v="12.49"/>
    <s v="Mobile_User"/>
    <n v="0.23129629629629631"/>
    <x v="3"/>
    <x v="0"/>
  </r>
  <r>
    <n v="1492133565"/>
    <d v="2017-04-13T00:00:00"/>
    <s v="United States"/>
    <x v="1"/>
    <s v="Mobile"/>
    <s v="Safari"/>
    <x v="0"/>
    <n v="27"/>
    <n v="1"/>
    <n v="12.57"/>
    <s v="Mobile_User"/>
    <n v="0.46555555555555556"/>
    <x v="4"/>
    <x v="0"/>
  </r>
  <r>
    <n v="1483412499"/>
    <d v="2017-01-02T00:00:00"/>
    <s v="United States"/>
    <x v="6"/>
    <s v="Mobile"/>
    <s v="Chrome"/>
    <x v="1"/>
    <n v="47"/>
    <n v="1"/>
    <n v="12.98"/>
    <s v="Mobile_User"/>
    <n v="0.27617021276595743"/>
    <x v="3"/>
    <x v="0"/>
  </r>
  <r>
    <n v="1493241659"/>
    <d v="2017-04-26T00:00:00"/>
    <s v="United States"/>
    <x v="0"/>
    <s v="Mobile"/>
    <s v="Chrome"/>
    <x v="0"/>
    <n v="28"/>
    <n v="1"/>
    <n v="12.98"/>
    <s v="Mobile_User"/>
    <n v="0.46357142857142858"/>
    <x v="1"/>
    <x v="0"/>
  </r>
  <r>
    <n v="1493519801"/>
    <d v="2017-04-29T00:00:00"/>
    <s v="United States"/>
    <x v="4"/>
    <s v="Mobile"/>
    <s v="Safari"/>
    <x v="0"/>
    <n v="18"/>
    <n v="1"/>
    <n v="12.98"/>
    <s v="Mobile_User"/>
    <n v="0.72111111111111115"/>
    <x v="5"/>
    <x v="0"/>
  </r>
  <r>
    <n v="1497456886"/>
    <d v="2017-06-14T00:00:00"/>
    <s v="United States"/>
    <x v="0"/>
    <s v="Mobile"/>
    <s v="Chrome"/>
    <x v="1"/>
    <n v="19"/>
    <n v="1"/>
    <n v="12.98"/>
    <s v="Mobile_User"/>
    <n v="0.68315789473684208"/>
    <x v="1"/>
    <x v="0"/>
  </r>
  <r>
    <n v="1493930822"/>
    <d v="2017-05-04T00:00:00"/>
    <s v="United States"/>
    <x v="0"/>
    <s v="Mobile"/>
    <s v="Chrome"/>
    <x v="0"/>
    <n v="12"/>
    <n v="1"/>
    <n v="12.98"/>
    <s v="Mobile_User"/>
    <n v="1.0816666666666668"/>
    <x v="4"/>
    <x v="0"/>
  </r>
  <r>
    <n v="1478710189"/>
    <d v="2016-11-09T00:00:00"/>
    <s v="United States"/>
    <x v="0"/>
    <s v="Mobile"/>
    <s v="Internet Explorer"/>
    <x v="1"/>
    <n v="30"/>
    <n v="1"/>
    <n v="12.99"/>
    <s v="Mobile_User"/>
    <n v="0.433"/>
    <x v="1"/>
    <x v="0"/>
  </r>
  <r>
    <n v="1474514449"/>
    <d v="2016-09-21T00:00:00"/>
    <s v="United States"/>
    <x v="0"/>
    <s v="Mobile"/>
    <s v="Chrome"/>
    <x v="1"/>
    <n v="35"/>
    <n v="1"/>
    <n v="12.99"/>
    <s v="Mobile_User"/>
    <n v="0.37114285714285716"/>
    <x v="1"/>
    <x v="0"/>
  </r>
  <r>
    <n v="1481233298"/>
    <d v="2016-12-08T00:00:00"/>
    <s v="Canada"/>
    <x v="0"/>
    <s v="Mobile"/>
    <s v="Safari"/>
    <x v="1"/>
    <n v="16"/>
    <n v="1"/>
    <n v="12.99"/>
    <s v="Mobile_User"/>
    <n v="0.81187500000000001"/>
    <x v="4"/>
    <x v="0"/>
  </r>
  <r>
    <n v="1486001825"/>
    <d v="2017-02-01T00:00:00"/>
    <s v="United States"/>
    <x v="0"/>
    <s v="Mobile"/>
    <s v="Chrome"/>
    <x v="1"/>
    <n v="54"/>
    <n v="2"/>
    <n v="12.99"/>
    <s v="Mobile_User"/>
    <n v="0.24055555555555555"/>
    <x v="1"/>
    <x v="0"/>
  </r>
  <r>
    <n v="1497573336"/>
    <d v="2017-06-15T00:00:00"/>
    <s v="United States"/>
    <x v="0"/>
    <s v="Mobile"/>
    <s v="Chrome"/>
    <x v="1"/>
    <n v="14"/>
    <n v="1"/>
    <n v="12.99"/>
    <s v="Mobile_User"/>
    <n v="0.92785714285714282"/>
    <x v="4"/>
    <x v="0"/>
  </r>
  <r>
    <n v="1487433407"/>
    <d v="2017-02-18T00:00:00"/>
    <s v="United States"/>
    <x v="0"/>
    <s v="Mobile"/>
    <s v="Chrome"/>
    <x v="1"/>
    <n v="8"/>
    <n v="1"/>
    <n v="12.99"/>
    <s v="Mobile_User"/>
    <n v="1.62375"/>
    <x v="5"/>
    <x v="0"/>
  </r>
  <r>
    <n v="1482865584"/>
    <d v="2016-12-27T00:00:00"/>
    <s v="United States"/>
    <x v="0"/>
    <s v="Mobile"/>
    <s v="Chrome"/>
    <x v="1"/>
    <n v="11"/>
    <n v="1"/>
    <n v="12.99"/>
    <s v="Mobile_User"/>
    <n v="1.1809090909090909"/>
    <x v="6"/>
    <x v="0"/>
  </r>
  <r>
    <n v="1478105553"/>
    <d v="2016-11-02T00:00:00"/>
    <s v="United States"/>
    <x v="6"/>
    <s v="Mobile"/>
    <s v="Safari"/>
    <x v="1"/>
    <n v="9"/>
    <n v="1"/>
    <n v="12.99"/>
    <s v="Mobile_User"/>
    <n v="1.4433333333333334"/>
    <x v="1"/>
    <x v="0"/>
  </r>
  <r>
    <n v="1492709591"/>
    <d v="2017-04-20T00:00:00"/>
    <s v="United States"/>
    <x v="0"/>
    <s v="Mobile"/>
    <s v="Chrome"/>
    <x v="0"/>
    <n v="21"/>
    <n v="1"/>
    <n v="12.99"/>
    <s v="Mobile_User"/>
    <n v="0.61857142857142855"/>
    <x v="4"/>
    <x v="0"/>
  </r>
  <r>
    <n v="1481683233"/>
    <d v="2016-12-13T00:00:00"/>
    <s v="United States"/>
    <x v="0"/>
    <s v="Mobile"/>
    <s v="Chrome"/>
    <x v="1"/>
    <n v="18"/>
    <n v="1"/>
    <n v="12.99"/>
    <s v="Mobile_User"/>
    <n v="0.72166666666666668"/>
    <x v="6"/>
    <x v="0"/>
  </r>
  <r>
    <n v="1494857623"/>
    <d v="2017-05-15T00:00:00"/>
    <s v="United States"/>
    <x v="0"/>
    <s v="Mobile"/>
    <s v="Chrome"/>
    <x v="1"/>
    <n v="13"/>
    <n v="1"/>
    <n v="12.99"/>
    <s v="Mobile_User"/>
    <n v="0.99923076923076926"/>
    <x v="3"/>
    <x v="0"/>
  </r>
  <r>
    <n v="1481247340"/>
    <d v="2016-12-08T00:00:00"/>
    <s v="United States"/>
    <x v="0"/>
    <s v="Mobile"/>
    <s v="Chrome"/>
    <x v="1"/>
    <n v="18"/>
    <n v="1"/>
    <n v="12.99"/>
    <s v="Mobile_User"/>
    <n v="0.72166666666666668"/>
    <x v="4"/>
    <x v="0"/>
  </r>
  <r>
    <n v="1485318493"/>
    <d v="2017-01-24T00:00:00"/>
    <s v="United States"/>
    <x v="15"/>
    <s v="Mobile"/>
    <s v="Chrome"/>
    <x v="1"/>
    <n v="14"/>
    <n v="1"/>
    <n v="12.99"/>
    <s v="Mobile_User"/>
    <n v="0.92785714285714282"/>
    <x v="6"/>
    <x v="0"/>
  </r>
  <r>
    <n v="1484613002"/>
    <d v="2017-01-16T00:00:00"/>
    <s v="United States"/>
    <x v="4"/>
    <s v="Mobile"/>
    <s v="Chrome"/>
    <x v="1"/>
    <n v="25"/>
    <n v="1"/>
    <n v="12.99"/>
    <s v="Mobile_User"/>
    <n v="0.51960000000000006"/>
    <x v="3"/>
    <x v="0"/>
  </r>
  <r>
    <n v="1501520591"/>
    <d v="2017-07-31T00:00:00"/>
    <s v="United States"/>
    <x v="0"/>
    <s v="Mobile"/>
    <s v="Chrome"/>
    <x v="0"/>
    <n v="10"/>
    <n v="1"/>
    <n v="12.99"/>
    <s v="Mobile_User"/>
    <n v="1.2989999999999999"/>
    <x v="3"/>
    <x v="0"/>
  </r>
  <r>
    <n v="1492015909"/>
    <d v="2017-04-12T00:00:00"/>
    <s v="United States"/>
    <x v="0"/>
    <s v="Mobile"/>
    <s v="Chrome"/>
    <x v="0"/>
    <n v="8"/>
    <n v="1"/>
    <n v="13.29"/>
    <s v="Mobile_User"/>
    <n v="1.6612499999999999"/>
    <x v="1"/>
    <x v="0"/>
  </r>
  <r>
    <n v="1501641303"/>
    <d v="2017-08-01T00:00:00"/>
    <s v="United States"/>
    <x v="0"/>
    <s v="Mobile"/>
    <s v="Safari"/>
    <x v="1"/>
    <n v="29"/>
    <n v="1"/>
    <n v="13.29"/>
    <s v="Mobile_User"/>
    <n v="0.45827586206896548"/>
    <x v="6"/>
    <x v="0"/>
  </r>
  <r>
    <n v="1499928366"/>
    <d v="2017-07-13T00:00:00"/>
    <s v="United States"/>
    <x v="0"/>
    <s v="Mobile"/>
    <s v="Safari"/>
    <x v="1"/>
    <n v="15"/>
    <n v="1"/>
    <n v="13.29"/>
    <s v="Mobile_User"/>
    <n v="0.8859999999999999"/>
    <x v="4"/>
    <x v="0"/>
  </r>
  <r>
    <n v="1498071708"/>
    <d v="2017-06-21T00:00:00"/>
    <s v="United States"/>
    <x v="0"/>
    <s v="Mobile"/>
    <s v="Safari"/>
    <x v="1"/>
    <n v="15"/>
    <n v="1"/>
    <n v="13.29"/>
    <s v="Mobile_User"/>
    <n v="0.8859999999999999"/>
    <x v="1"/>
    <x v="0"/>
  </r>
  <r>
    <n v="1494933655"/>
    <d v="2017-05-16T00:00:00"/>
    <s v="Canada"/>
    <x v="0"/>
    <s v="Mobile"/>
    <s v="Chrome"/>
    <x v="0"/>
    <n v="13"/>
    <n v="1"/>
    <n v="13.29"/>
    <s v="Mobile_User"/>
    <n v="1.0223076923076921"/>
    <x v="6"/>
    <x v="0"/>
  </r>
  <r>
    <n v="1498232978"/>
    <d v="2017-06-23T00:00:00"/>
    <s v="United States"/>
    <x v="6"/>
    <s v="Mobile"/>
    <s v="Safari"/>
    <x v="1"/>
    <n v="20"/>
    <n v="1"/>
    <n v="13.29"/>
    <s v="Mobile_User"/>
    <n v="0.66449999999999998"/>
    <x v="0"/>
    <x v="0"/>
  </r>
  <r>
    <n v="1498016789"/>
    <d v="2017-06-20T00:00:00"/>
    <s v="United States"/>
    <x v="20"/>
    <s v="Mobile"/>
    <s v="Chrome"/>
    <x v="0"/>
    <n v="30"/>
    <n v="1"/>
    <n v="13.29"/>
    <s v="Mobile_User"/>
    <n v="0.44299999999999995"/>
    <x v="6"/>
    <x v="0"/>
  </r>
  <r>
    <n v="1492662651"/>
    <d v="2017-04-19T00:00:00"/>
    <s v="United States"/>
    <x v="1"/>
    <s v="Mobile"/>
    <s v="Chrome"/>
    <x v="0"/>
    <n v="13"/>
    <n v="1"/>
    <n v="13.29"/>
    <s v="Mobile_User"/>
    <n v="1.0223076923076921"/>
    <x v="1"/>
    <x v="0"/>
  </r>
  <r>
    <n v="1470446353"/>
    <d v="2016-08-05T00:00:00"/>
    <s v="United States"/>
    <x v="0"/>
    <s v="Mobile"/>
    <s v="Chrome"/>
    <x v="1"/>
    <n v="29"/>
    <n v="1"/>
    <n v="13.52"/>
    <s v="Mobile_User"/>
    <n v="0.46620689655172415"/>
    <x v="0"/>
    <x v="0"/>
  </r>
  <r>
    <n v="1481861233"/>
    <d v="2016-12-15T00:00:00"/>
    <s v="United States"/>
    <x v="13"/>
    <s v="Mobile"/>
    <s v="Android Webview"/>
    <x v="1"/>
    <n v="11"/>
    <n v="1"/>
    <n v="13.98"/>
    <s v="Mobile_User"/>
    <n v="1.270909090909091"/>
    <x v="4"/>
    <x v="0"/>
  </r>
  <r>
    <n v="1491277678"/>
    <d v="2017-04-03T00:00:00"/>
    <s v="United States"/>
    <x v="0"/>
    <s v="Mobile"/>
    <s v="Chrome"/>
    <x v="0"/>
    <n v="16"/>
    <n v="1"/>
    <n v="13.98"/>
    <s v="Mobile_User"/>
    <n v="0.87375000000000003"/>
    <x v="3"/>
    <x v="0"/>
  </r>
  <r>
    <n v="1495298424"/>
    <d v="2017-05-20T00:00:00"/>
    <s v="United States"/>
    <x v="0"/>
    <s v="Mobile"/>
    <s v="Safari"/>
    <x v="1"/>
    <n v="12"/>
    <n v="1"/>
    <n v="13.98"/>
    <s v="Mobile_User"/>
    <n v="1.165"/>
    <x v="5"/>
    <x v="0"/>
  </r>
  <r>
    <n v="1495383586"/>
    <d v="2017-05-21T00:00:00"/>
    <s v="United States"/>
    <x v="10"/>
    <s v="Mobile"/>
    <s v="Safari (in-app)"/>
    <x v="1"/>
    <n v="11"/>
    <n v="1"/>
    <n v="13.98"/>
    <s v="Mobile_User"/>
    <n v="1.270909090909091"/>
    <x v="2"/>
    <x v="0"/>
  </r>
  <r>
    <n v="1485338720"/>
    <d v="2017-01-25T00:00:00"/>
    <s v="United States"/>
    <x v="0"/>
    <s v="Mobile"/>
    <s v="Android Webview"/>
    <x v="1"/>
    <n v="11"/>
    <n v="1"/>
    <n v="13.98"/>
    <s v="Mobile_User"/>
    <n v="1.270909090909091"/>
    <x v="1"/>
    <x v="0"/>
  </r>
  <r>
    <n v="1474434593"/>
    <d v="2016-09-20T00:00:00"/>
    <s v="United States"/>
    <x v="2"/>
    <s v="Mobile"/>
    <s v="Chrome"/>
    <x v="0"/>
    <n v="20"/>
    <n v="1"/>
    <n v="13.99"/>
    <s v="Mobile_User"/>
    <n v="0.69950000000000001"/>
    <x v="6"/>
    <x v="0"/>
  </r>
  <r>
    <n v="1477802758"/>
    <d v="2016-10-29T00:00:00"/>
    <s v="United States"/>
    <x v="0"/>
    <s v="Mobile"/>
    <s v="Chrome"/>
    <x v="1"/>
    <n v="22"/>
    <n v="1"/>
    <n v="14"/>
    <s v="Mobile_User"/>
    <n v="0.63636363636363635"/>
    <x v="5"/>
    <x v="0"/>
  </r>
  <r>
    <n v="1501440171"/>
    <d v="2017-07-30T00:00:00"/>
    <s v="United States"/>
    <x v="0"/>
    <s v="Mobile"/>
    <s v="Safari"/>
    <x v="0"/>
    <n v="27"/>
    <n v="1"/>
    <n v="14"/>
    <s v="Mobile_User"/>
    <n v="0.51851851851851849"/>
    <x v="2"/>
    <x v="0"/>
  </r>
  <r>
    <n v="1501510210"/>
    <d v="2017-07-31T00:00:00"/>
    <s v="United States"/>
    <x v="0"/>
    <s v="Mobile"/>
    <s v="Chrome"/>
    <x v="0"/>
    <n v="18"/>
    <n v="1"/>
    <n v="14"/>
    <s v="Mobile_User"/>
    <n v="0.77777777777777779"/>
    <x v="3"/>
    <x v="0"/>
  </r>
  <r>
    <n v="1473351948"/>
    <d v="2016-09-08T00:00:00"/>
    <s v="United States"/>
    <x v="0"/>
    <s v="Mobile"/>
    <s v="Safari"/>
    <x v="0"/>
    <n v="10"/>
    <n v="1"/>
    <n v="14.49"/>
    <s v="Mobile_User"/>
    <n v="1.4490000000000001"/>
    <x v="4"/>
    <x v="0"/>
  </r>
  <r>
    <n v="1471984022"/>
    <d v="2016-08-23T00:00:00"/>
    <s v="United States"/>
    <x v="0"/>
    <s v="Mobile"/>
    <s v="Chrome"/>
    <x v="0"/>
    <n v="13"/>
    <n v="1"/>
    <n v="14.68"/>
    <s v="Mobile_User"/>
    <n v="1.1292307692307693"/>
    <x v="6"/>
    <x v="0"/>
  </r>
  <r>
    <n v="1493867466"/>
    <d v="2017-05-03T00:00:00"/>
    <s v="United States"/>
    <x v="0"/>
    <s v="Mobile"/>
    <s v="Safari"/>
    <x v="0"/>
    <n v="8"/>
    <n v="1"/>
    <n v="14.69"/>
    <s v="Mobile_User"/>
    <n v="1.8362499999999999"/>
    <x v="1"/>
    <x v="0"/>
  </r>
  <r>
    <n v="1493478172"/>
    <d v="2017-04-29T00:00:00"/>
    <s v="United States"/>
    <x v="0"/>
    <s v="Mobile"/>
    <s v="Safari"/>
    <x v="0"/>
    <n v="19"/>
    <n v="1"/>
    <n v="14.69"/>
    <s v="Mobile_User"/>
    <n v="0.77315789473684204"/>
    <x v="5"/>
    <x v="0"/>
  </r>
  <r>
    <n v="1491243259"/>
    <d v="2017-04-03T00:00:00"/>
    <s v="United States"/>
    <x v="0"/>
    <s v="Mobile"/>
    <s v="Safari"/>
    <x v="0"/>
    <n v="21"/>
    <n v="1"/>
    <n v="14.95"/>
    <s v="Mobile_User"/>
    <n v="0.71190476190476182"/>
    <x v="3"/>
    <x v="0"/>
  </r>
  <r>
    <n v="1484670113"/>
    <d v="2017-01-17T00:00:00"/>
    <s v="Ireland"/>
    <x v="21"/>
    <s v="Mobile"/>
    <s v="Safari"/>
    <x v="1"/>
    <n v="15"/>
    <n v="1"/>
    <n v="14.98"/>
    <s v="Mobile_User"/>
    <n v="0.9986666666666667"/>
    <x v="6"/>
    <x v="0"/>
  </r>
  <r>
    <n v="1474929658"/>
    <d v="2016-09-26T00:00:00"/>
    <s v="United States"/>
    <x v="0"/>
    <s v="Mobile"/>
    <s v="Safari"/>
    <x v="0"/>
    <n v="19"/>
    <n v="1"/>
    <n v="14.98"/>
    <s v="Mobile_User"/>
    <n v="0.78842105263157902"/>
    <x v="3"/>
    <x v="0"/>
  </r>
  <r>
    <n v="1478446373"/>
    <d v="2016-11-06T00:00:00"/>
    <s v="United States"/>
    <x v="0"/>
    <s v="Mobile"/>
    <s v="Chrome"/>
    <x v="1"/>
    <n v="14"/>
    <n v="1"/>
    <n v="15"/>
    <s v="Mobile_User"/>
    <n v="1.0714285714285714"/>
    <x v="2"/>
    <x v="0"/>
  </r>
  <r>
    <n v="1476572472"/>
    <d v="2016-10-15T00:00:00"/>
    <s v="United States"/>
    <x v="0"/>
    <s v="Mobile"/>
    <s v="Safari"/>
    <x v="1"/>
    <n v="16"/>
    <n v="1"/>
    <n v="15"/>
    <s v="Mobile_User"/>
    <n v="0.9375"/>
    <x v="5"/>
    <x v="0"/>
  </r>
  <r>
    <n v="1500420814"/>
    <d v="2017-07-18T00:00:00"/>
    <s v="United States"/>
    <x v="0"/>
    <s v="Mobile"/>
    <s v="Chrome"/>
    <x v="0"/>
    <n v="52"/>
    <n v="1"/>
    <n v="15.39"/>
    <s v="Mobile_User"/>
    <n v="0.2959615384615385"/>
    <x v="6"/>
    <x v="0"/>
  </r>
  <r>
    <n v="1475898709"/>
    <d v="2016-10-07T00:00:00"/>
    <s v="United States"/>
    <x v="0"/>
    <s v="Mobile"/>
    <s v="Safari"/>
    <x v="0"/>
    <n v="34"/>
    <n v="1"/>
    <n v="15.95"/>
    <s v="Mobile_User"/>
    <n v="0.46911764705882353"/>
    <x v="0"/>
    <x v="0"/>
  </r>
  <r>
    <n v="1497331872"/>
    <d v="2017-06-12T00:00:00"/>
    <s v="United States"/>
    <x v="13"/>
    <s v="Mobile"/>
    <s v="Safari"/>
    <x v="1"/>
    <n v="33"/>
    <n v="1"/>
    <n v="15.96"/>
    <s v="Mobile_User"/>
    <n v="0.48363636363636364"/>
    <x v="3"/>
    <x v="0"/>
  </r>
  <r>
    <n v="1473188394"/>
    <d v="2016-09-06T00:00:00"/>
    <s v="United States"/>
    <x v="0"/>
    <s v="Mobile"/>
    <s v="Safari"/>
    <x v="0"/>
    <n v="26"/>
    <n v="1"/>
    <n v="15.96"/>
    <s v="Mobile_User"/>
    <n v="0.61384615384615393"/>
    <x v="6"/>
    <x v="0"/>
  </r>
  <r>
    <n v="1492088880"/>
    <d v="2017-04-13T00:00:00"/>
    <s v="United States"/>
    <x v="0"/>
    <s v="Mobile"/>
    <s v="Chrome"/>
    <x v="0"/>
    <n v="14"/>
    <n v="1"/>
    <n v="15.96"/>
    <s v="Mobile_User"/>
    <n v="1.1400000000000001"/>
    <x v="4"/>
    <x v="0"/>
  </r>
  <r>
    <n v="1490732099"/>
    <d v="2017-03-28T00:00:00"/>
    <s v="United States"/>
    <x v="13"/>
    <s v="Mobile"/>
    <s v="Chrome"/>
    <x v="0"/>
    <n v="11"/>
    <n v="1"/>
    <n v="15.99"/>
    <s v="Mobile_User"/>
    <n v="1.4536363636363636"/>
    <x v="6"/>
    <x v="0"/>
  </r>
  <r>
    <n v="1495117087"/>
    <d v="2017-05-18T00:00:00"/>
    <s v="United States"/>
    <x v="0"/>
    <s v="Mobile"/>
    <s v="Chrome"/>
    <x v="0"/>
    <n v="15"/>
    <n v="1"/>
    <n v="16.28"/>
    <s v="Mobile_User"/>
    <n v="1.0853333333333335"/>
    <x v="4"/>
    <x v="0"/>
  </r>
  <r>
    <n v="1484707394"/>
    <d v="2017-01-17T00:00:00"/>
    <s v="United States"/>
    <x v="1"/>
    <s v="Mobile"/>
    <s v="Safari"/>
    <x v="1"/>
    <n v="33"/>
    <n v="1"/>
    <n v="16.48"/>
    <s v="Mobile_User"/>
    <n v="0.49939393939393939"/>
    <x v="6"/>
    <x v="0"/>
  </r>
  <r>
    <n v="1472743628"/>
    <d v="2016-09-01T00:00:00"/>
    <s v="United States"/>
    <x v="11"/>
    <s v="Mobile"/>
    <s v="Chrome"/>
    <x v="0"/>
    <n v="10"/>
    <n v="1"/>
    <n v="16.489999999999998"/>
    <s v="Mobile_User"/>
    <n v="1.6489999999999998"/>
    <x v="4"/>
    <x v="0"/>
  </r>
  <r>
    <n v="1480491475"/>
    <d v="2016-11-29T00:00:00"/>
    <s v="United States"/>
    <x v="22"/>
    <s v="Mobile"/>
    <s v="Chrome"/>
    <x v="1"/>
    <n v="43"/>
    <n v="1"/>
    <n v="16.96"/>
    <s v="Mobile_User"/>
    <n v="0.3944186046511628"/>
    <x v="6"/>
    <x v="0"/>
  </r>
  <r>
    <n v="1485477841"/>
    <d v="2017-01-26T00:00:00"/>
    <s v="United States"/>
    <x v="0"/>
    <s v="Mobile"/>
    <s v="Safari (in-app)"/>
    <x v="1"/>
    <n v="14"/>
    <n v="1"/>
    <n v="16.97"/>
    <s v="Mobile_User"/>
    <n v="1.212142857142857"/>
    <x v="4"/>
    <x v="0"/>
  </r>
  <r>
    <n v="1477255583"/>
    <d v="2016-10-23T00:00:00"/>
    <s v="United States"/>
    <x v="0"/>
    <s v="Mobile"/>
    <s v="Safari"/>
    <x v="1"/>
    <n v="15"/>
    <n v="1"/>
    <n v="16.989999999999998"/>
    <s v="Mobile_User"/>
    <n v="1.1326666666666665"/>
    <x v="2"/>
    <x v="0"/>
  </r>
  <r>
    <n v="1496020392"/>
    <d v="2017-05-28T00:00:00"/>
    <s v="United States"/>
    <x v="0"/>
    <s v="Mobile"/>
    <s v="Chrome"/>
    <x v="0"/>
    <n v="32"/>
    <n v="1"/>
    <n v="16.989999999999998"/>
    <s v="Mobile_User"/>
    <n v="0.53093749999999995"/>
    <x v="2"/>
    <x v="0"/>
  </r>
  <r>
    <n v="1496857407"/>
    <d v="2017-06-07T00:00:00"/>
    <s v="Spain"/>
    <x v="4"/>
    <s v="Mobile"/>
    <s v="Chrome"/>
    <x v="1"/>
    <n v="16"/>
    <n v="1"/>
    <n v="16.989999999999998"/>
    <s v="Mobile_User"/>
    <n v="1.0618749999999999"/>
    <x v="1"/>
    <x v="0"/>
  </r>
  <r>
    <n v="1477158751"/>
    <d v="2016-10-22T00:00:00"/>
    <s v="United States"/>
    <x v="0"/>
    <s v="Mobile"/>
    <s v="Safari"/>
    <x v="1"/>
    <n v="16"/>
    <n v="1"/>
    <n v="16.989999999999998"/>
    <s v="Mobile_User"/>
    <n v="1.0618749999999999"/>
    <x v="5"/>
    <x v="0"/>
  </r>
  <r>
    <n v="1481506874"/>
    <d v="2016-12-11T00:00:00"/>
    <s v="United States"/>
    <x v="0"/>
    <s v="Mobile"/>
    <s v="Chrome"/>
    <x v="1"/>
    <n v="22"/>
    <n v="1"/>
    <n v="16.989999999999998"/>
    <s v="Mobile_User"/>
    <n v="0.77227272727272722"/>
    <x v="2"/>
    <x v="0"/>
  </r>
  <r>
    <n v="1475764064"/>
    <d v="2016-10-06T00:00:00"/>
    <s v="United States"/>
    <x v="0"/>
    <s v="Mobile"/>
    <s v="Chrome"/>
    <x v="1"/>
    <n v="21"/>
    <n v="1"/>
    <n v="16.989999999999998"/>
    <s v="Mobile_User"/>
    <n v="0.80904761904761902"/>
    <x v="4"/>
    <x v="0"/>
  </r>
  <r>
    <n v="1477275741"/>
    <d v="2016-10-23T00:00:00"/>
    <s v="United States"/>
    <x v="0"/>
    <s v="Mobile"/>
    <s v="Safari"/>
    <x v="1"/>
    <n v="18"/>
    <n v="1"/>
    <n v="16.989999999999998"/>
    <s v="Mobile_User"/>
    <n v="0.94388888888888878"/>
    <x v="2"/>
    <x v="0"/>
  </r>
  <r>
    <n v="1480389578"/>
    <d v="2016-11-28T00:00:00"/>
    <s v="United States"/>
    <x v="0"/>
    <s v="Mobile"/>
    <s v="Chrome"/>
    <x v="1"/>
    <n v="54"/>
    <n v="1"/>
    <n v="16.989999999999998"/>
    <s v="Mobile_User"/>
    <n v="0.31462962962962959"/>
    <x v="3"/>
    <x v="0"/>
  </r>
  <r>
    <n v="1476076187"/>
    <d v="2016-10-09T00:00:00"/>
    <s v="United States"/>
    <x v="10"/>
    <s v="Mobile"/>
    <s v="Chrome"/>
    <x v="1"/>
    <n v="13"/>
    <n v="1"/>
    <n v="16.989999999999998"/>
    <s v="Mobile_User"/>
    <n v="1.3069230769230769"/>
    <x v="2"/>
    <x v="0"/>
  </r>
  <r>
    <n v="1492195574"/>
    <d v="2017-04-14T00:00:00"/>
    <s v="United States"/>
    <x v="2"/>
    <s v="Mobile"/>
    <s v="Safari"/>
    <x v="0"/>
    <n v="30"/>
    <n v="1"/>
    <n v="16.989999999999998"/>
    <s v="Mobile_User"/>
    <n v="0.56633333333333324"/>
    <x v="0"/>
    <x v="0"/>
  </r>
  <r>
    <n v="1478570923"/>
    <d v="2016-11-07T00:00:00"/>
    <s v="United States"/>
    <x v="23"/>
    <s v="Mobile"/>
    <s v="Chrome"/>
    <x v="1"/>
    <n v="24"/>
    <n v="1"/>
    <n v="16.989999999999998"/>
    <s v="Mobile_User"/>
    <n v="0.70791666666666664"/>
    <x v="3"/>
    <x v="0"/>
  </r>
  <r>
    <n v="1484540759"/>
    <d v="2017-01-15T00:00:00"/>
    <s v="United States"/>
    <x v="0"/>
    <s v="Mobile"/>
    <s v="Safari"/>
    <x v="1"/>
    <n v="20"/>
    <n v="1"/>
    <n v="16.989999999999998"/>
    <s v="Mobile_User"/>
    <n v="0.84949999999999992"/>
    <x v="2"/>
    <x v="0"/>
  </r>
  <r>
    <n v="1476473113"/>
    <d v="2016-10-14T00:00:00"/>
    <s v="United States"/>
    <x v="0"/>
    <s v="Mobile"/>
    <s v="Safari"/>
    <x v="1"/>
    <n v="28"/>
    <n v="1"/>
    <n v="16.989999999999998"/>
    <s v="Mobile_User"/>
    <n v="0.60678571428571426"/>
    <x v="0"/>
    <x v="0"/>
  </r>
  <r>
    <n v="1500488286"/>
    <d v="2017-07-19T00:00:00"/>
    <s v="United States"/>
    <x v="0"/>
    <s v="Mobile"/>
    <s v="Safari"/>
    <x v="0"/>
    <n v="12"/>
    <n v="1"/>
    <n v="16.989999999999998"/>
    <s v="Mobile_User"/>
    <n v="1.4158333333333333"/>
    <x v="1"/>
    <x v="0"/>
  </r>
  <r>
    <n v="1500656693"/>
    <d v="2017-07-21T00:00:00"/>
    <s v="United States"/>
    <x v="10"/>
    <s v="Mobile"/>
    <s v="Chrome"/>
    <x v="0"/>
    <n v="12"/>
    <n v="1"/>
    <n v="16.989999999999998"/>
    <s v="Mobile_User"/>
    <n v="1.4158333333333333"/>
    <x v="0"/>
    <x v="0"/>
  </r>
  <r>
    <n v="1481487601"/>
    <d v="2016-12-11T00:00:00"/>
    <s v="United States"/>
    <x v="0"/>
    <s v="Mobile"/>
    <s v="Safari"/>
    <x v="1"/>
    <n v="15"/>
    <n v="1"/>
    <n v="16.989999999999998"/>
    <s v="Mobile_User"/>
    <n v="1.1326666666666665"/>
    <x v="2"/>
    <x v="0"/>
  </r>
  <r>
    <n v="1493842998"/>
    <d v="2017-05-03T00:00:00"/>
    <s v="United States"/>
    <x v="8"/>
    <s v="Mobile"/>
    <s v="Chrome"/>
    <x v="1"/>
    <n v="18"/>
    <n v="1"/>
    <n v="16.989999999999998"/>
    <s v="Mobile_User"/>
    <n v="0.94388888888888878"/>
    <x v="1"/>
    <x v="0"/>
  </r>
  <r>
    <n v="1500904908"/>
    <d v="2017-07-24T00:00:00"/>
    <s v="United States"/>
    <x v="0"/>
    <s v="Mobile"/>
    <s v="Chrome"/>
    <x v="0"/>
    <n v="21"/>
    <n v="1"/>
    <n v="16.989999999999998"/>
    <s v="Mobile_User"/>
    <n v="0.80904761904761902"/>
    <x v="3"/>
    <x v="0"/>
  </r>
  <r>
    <n v="1495033423"/>
    <d v="2017-05-17T00:00:00"/>
    <s v="United States"/>
    <x v="0"/>
    <s v="Mobile"/>
    <s v="Safari"/>
    <x v="0"/>
    <n v="25"/>
    <n v="1"/>
    <n v="16.989999999999998"/>
    <s v="Mobile_User"/>
    <n v="0.67959999999999998"/>
    <x v="1"/>
    <x v="0"/>
  </r>
  <r>
    <n v="1477275949"/>
    <d v="2016-10-23T00:00:00"/>
    <s v="United States"/>
    <x v="0"/>
    <s v="Mobile"/>
    <s v="Safari"/>
    <x v="1"/>
    <n v="45"/>
    <n v="1"/>
    <n v="16.989999999999998"/>
    <s v="Mobile_User"/>
    <n v="0.37755555555555553"/>
    <x v="2"/>
    <x v="0"/>
  </r>
  <r>
    <n v="1477508539"/>
    <d v="2016-10-26T00:00:00"/>
    <s v="United States"/>
    <x v="7"/>
    <s v="Mobile"/>
    <s v="Chrome"/>
    <x v="1"/>
    <n v="10"/>
    <n v="1"/>
    <n v="16.989999999999998"/>
    <s v="Mobile_User"/>
    <n v="1.6989999999999998"/>
    <x v="1"/>
    <x v="0"/>
  </r>
  <r>
    <n v="1485229585"/>
    <d v="2017-01-23T00:00:00"/>
    <s v="United States"/>
    <x v="0"/>
    <s v="Mobile"/>
    <s v="Safari"/>
    <x v="1"/>
    <n v="24"/>
    <n v="1"/>
    <n v="16.989999999999998"/>
    <s v="Mobile_User"/>
    <n v="0.70791666666666664"/>
    <x v="3"/>
    <x v="0"/>
  </r>
  <r>
    <n v="1486326864"/>
    <d v="2017-02-05T00:00:00"/>
    <s v="United States"/>
    <x v="0"/>
    <s v="Mobile"/>
    <s v="Chrome"/>
    <x v="1"/>
    <n v="17"/>
    <n v="1"/>
    <n v="16.989999999999998"/>
    <s v="Mobile_User"/>
    <n v="0.99941176470588222"/>
    <x v="2"/>
    <x v="0"/>
  </r>
  <r>
    <n v="1480536898"/>
    <d v="2016-11-30T00:00:00"/>
    <s v="Canada"/>
    <x v="0"/>
    <s v="Mobile"/>
    <s v="Safari"/>
    <x v="1"/>
    <n v="7"/>
    <n v="1"/>
    <n v="16.989999999999998"/>
    <s v="Mobile_User"/>
    <n v="2.427142857142857"/>
    <x v="1"/>
    <x v="0"/>
  </r>
  <r>
    <n v="1492189611"/>
    <d v="2017-04-14T00:00:00"/>
    <s v="Canada"/>
    <x v="24"/>
    <s v="Mobile"/>
    <s v="Chrome"/>
    <x v="0"/>
    <n v="16"/>
    <n v="1"/>
    <n v="16.989999999999998"/>
    <s v="Mobile_User"/>
    <n v="1.0618749999999999"/>
    <x v="0"/>
    <x v="0"/>
  </r>
  <r>
    <n v="1495065571"/>
    <d v="2017-05-17T00:00:00"/>
    <s v="United States"/>
    <x v="0"/>
    <s v="Mobile"/>
    <s v="Chrome"/>
    <x v="0"/>
    <n v="19"/>
    <n v="1"/>
    <n v="16.989999999999998"/>
    <s v="Mobile_User"/>
    <n v="0.89421052631578934"/>
    <x v="1"/>
    <x v="0"/>
  </r>
  <r>
    <n v="1493930916"/>
    <d v="2017-05-04T00:00:00"/>
    <s v="United States"/>
    <x v="25"/>
    <s v="Mobile"/>
    <s v="Safari"/>
    <x v="0"/>
    <n v="16"/>
    <n v="1"/>
    <n v="16.989999999999998"/>
    <s v="Mobile_User"/>
    <n v="1.0618749999999999"/>
    <x v="4"/>
    <x v="0"/>
  </r>
  <r>
    <n v="1498775451"/>
    <d v="2017-06-29T00:00:00"/>
    <s v="United States"/>
    <x v="14"/>
    <s v="Mobile"/>
    <s v="Chrome"/>
    <x v="0"/>
    <n v="30"/>
    <n v="1"/>
    <n v="16.989999999999998"/>
    <s v="Mobile_User"/>
    <n v="0.56633333333333324"/>
    <x v="4"/>
    <x v="0"/>
  </r>
  <r>
    <n v="1481119193"/>
    <d v="2016-12-07T00:00:00"/>
    <s v="United States"/>
    <x v="19"/>
    <s v="Mobile"/>
    <s v="Chrome"/>
    <x v="1"/>
    <n v="19"/>
    <n v="1"/>
    <n v="16.989999999999998"/>
    <s v="Mobile_User"/>
    <n v="0.89421052631578934"/>
    <x v="1"/>
    <x v="0"/>
  </r>
  <r>
    <n v="1493167947"/>
    <d v="2017-04-25T00:00:00"/>
    <s v="United States"/>
    <x v="0"/>
    <s v="Mobile"/>
    <s v="Safari"/>
    <x v="0"/>
    <n v="26"/>
    <n v="1"/>
    <n v="16.989999999999998"/>
    <s v="Mobile_User"/>
    <n v="0.65346153846153843"/>
    <x v="6"/>
    <x v="0"/>
  </r>
  <r>
    <n v="1475628538"/>
    <d v="2016-10-04T00:00:00"/>
    <s v="United States"/>
    <x v="0"/>
    <s v="Mobile"/>
    <s v="Chrome"/>
    <x v="1"/>
    <n v="15"/>
    <n v="1"/>
    <n v="16.989999999999998"/>
    <s v="Mobile_User"/>
    <n v="1.1326666666666665"/>
    <x v="6"/>
    <x v="0"/>
  </r>
  <r>
    <n v="1479597080"/>
    <d v="2016-11-19T00:00:00"/>
    <s v="Canada"/>
    <x v="0"/>
    <s v="Mobile"/>
    <s v="Chrome"/>
    <x v="0"/>
    <n v="20"/>
    <n v="1"/>
    <n v="16.989999999999998"/>
    <s v="Mobile_User"/>
    <n v="0.84949999999999992"/>
    <x v="5"/>
    <x v="0"/>
  </r>
  <r>
    <n v="1495073150"/>
    <d v="2017-05-17T00:00:00"/>
    <s v="United States"/>
    <x v="0"/>
    <s v="Mobile"/>
    <s v="Safari"/>
    <x v="0"/>
    <n v="10"/>
    <n v="1"/>
    <n v="16.989999999999998"/>
    <s v="Mobile_User"/>
    <n v="1.6989999999999998"/>
    <x v="1"/>
    <x v="0"/>
  </r>
  <r>
    <n v="1492366041"/>
    <d v="2017-04-16T00:00:00"/>
    <s v="United States"/>
    <x v="0"/>
    <s v="Mobile"/>
    <s v="Chrome"/>
    <x v="0"/>
    <n v="16"/>
    <n v="1"/>
    <n v="16.989999999999998"/>
    <s v="Mobile_User"/>
    <n v="1.0618749999999999"/>
    <x v="2"/>
    <x v="0"/>
  </r>
  <r>
    <n v="1494596183"/>
    <d v="2017-05-12T00:00:00"/>
    <s v="United States"/>
    <x v="4"/>
    <s v="Mobile"/>
    <s v="Safari"/>
    <x v="0"/>
    <n v="21"/>
    <n v="1"/>
    <n v="16.989999999999998"/>
    <s v="Mobile_User"/>
    <n v="0.80904761904761902"/>
    <x v="0"/>
    <x v="0"/>
  </r>
  <r>
    <n v="1483034145"/>
    <d v="2016-12-29T00:00:00"/>
    <s v="Canada"/>
    <x v="24"/>
    <s v="Mobile"/>
    <s v="Safari"/>
    <x v="1"/>
    <n v="9"/>
    <n v="1"/>
    <n v="16.989999999999998"/>
    <s v="Mobile_User"/>
    <n v="1.8877777777777776"/>
    <x v="4"/>
    <x v="0"/>
  </r>
  <r>
    <n v="1491407500"/>
    <d v="2017-04-05T00:00:00"/>
    <s v="United States"/>
    <x v="0"/>
    <s v="Mobile"/>
    <s v="Chrome"/>
    <x v="1"/>
    <n v="15"/>
    <n v="1"/>
    <n v="16.989999999999998"/>
    <s v="Mobile_User"/>
    <n v="1.1326666666666665"/>
    <x v="1"/>
    <x v="0"/>
  </r>
  <r>
    <n v="1486615488"/>
    <d v="2017-02-08T00:00:00"/>
    <s v="United States"/>
    <x v="1"/>
    <s v="Mobile"/>
    <s v="Chrome"/>
    <x v="1"/>
    <n v="12"/>
    <n v="1"/>
    <n v="16.989999999999998"/>
    <s v="Mobile_User"/>
    <n v="1.4158333333333333"/>
    <x v="1"/>
    <x v="0"/>
  </r>
  <r>
    <n v="1488213524"/>
    <d v="2017-02-27T00:00:00"/>
    <s v="United States"/>
    <x v="0"/>
    <s v="Mobile"/>
    <s v="Chrome"/>
    <x v="1"/>
    <n v="20"/>
    <n v="1"/>
    <n v="16.989999999999998"/>
    <s v="Mobile_User"/>
    <n v="0.84949999999999992"/>
    <x v="3"/>
    <x v="0"/>
  </r>
  <r>
    <n v="1495138311"/>
    <d v="2017-05-18T00:00:00"/>
    <s v="United States"/>
    <x v="0"/>
    <s v="Mobile"/>
    <s v="Chrome"/>
    <x v="0"/>
    <n v="24"/>
    <n v="1"/>
    <n v="16.989999999999998"/>
    <s v="Mobile_User"/>
    <n v="0.70791666666666664"/>
    <x v="4"/>
    <x v="0"/>
  </r>
  <r>
    <n v="1499528402"/>
    <d v="2017-07-08T00:00:00"/>
    <s v="United States"/>
    <x v="0"/>
    <s v="Mobile"/>
    <s v="Safari"/>
    <x v="0"/>
    <n v="15"/>
    <n v="1"/>
    <n v="16.989999999999998"/>
    <s v="Mobile_User"/>
    <n v="1.1326666666666665"/>
    <x v="5"/>
    <x v="0"/>
  </r>
  <r>
    <n v="1482002082"/>
    <d v="2016-12-17T00:00:00"/>
    <s v="United States"/>
    <x v="11"/>
    <s v="Mobile"/>
    <s v="Chrome"/>
    <x v="1"/>
    <n v="23"/>
    <n v="1"/>
    <n v="16.989999999999998"/>
    <s v="Mobile_User"/>
    <n v="0.73869565217391298"/>
    <x v="5"/>
    <x v="0"/>
  </r>
  <r>
    <n v="1478841444"/>
    <d v="2016-11-10T00:00:00"/>
    <s v="United States"/>
    <x v="0"/>
    <s v="Mobile"/>
    <s v="Chrome"/>
    <x v="1"/>
    <n v="26"/>
    <n v="1"/>
    <n v="16.989999999999998"/>
    <s v="Mobile_User"/>
    <n v="0.65346153846153843"/>
    <x v="4"/>
    <x v="0"/>
  </r>
  <r>
    <n v="1490977245"/>
    <d v="2017-03-31T00:00:00"/>
    <s v="United States"/>
    <x v="0"/>
    <s v="Mobile"/>
    <s v="Chrome"/>
    <x v="0"/>
    <n v="21"/>
    <n v="1"/>
    <n v="16.989999999999998"/>
    <s v="Mobile_User"/>
    <n v="0.80904761904761902"/>
    <x v="0"/>
    <x v="0"/>
  </r>
  <r>
    <n v="1481925863"/>
    <d v="2016-12-16T00:00:00"/>
    <s v="United States"/>
    <x v="0"/>
    <s v="Mobile"/>
    <s v="Chrome"/>
    <x v="1"/>
    <n v="28"/>
    <n v="1"/>
    <n v="16.989999999999998"/>
    <s v="Mobile_User"/>
    <n v="0.60678571428571426"/>
    <x v="0"/>
    <x v="0"/>
  </r>
  <r>
    <n v="1484528341"/>
    <d v="2017-01-15T00:00:00"/>
    <s v="United States"/>
    <x v="2"/>
    <s v="Mobile"/>
    <s v="Chrome"/>
    <x v="1"/>
    <n v="22"/>
    <n v="1"/>
    <n v="16.989999999999998"/>
    <s v="Mobile_User"/>
    <n v="0.77227272727272722"/>
    <x v="2"/>
    <x v="0"/>
  </r>
  <r>
    <n v="1493510042"/>
    <d v="2017-04-29T00:00:00"/>
    <s v="Puerto Rico"/>
    <x v="0"/>
    <s v="Mobile"/>
    <s v="Safari"/>
    <x v="0"/>
    <n v="23"/>
    <n v="1"/>
    <n v="16.989999999999998"/>
    <s v="Mobile_User"/>
    <n v="0.73869565217391298"/>
    <x v="5"/>
    <x v="0"/>
  </r>
  <r>
    <n v="1482520854"/>
    <d v="2016-12-23T00:00:00"/>
    <s v="United States"/>
    <x v="0"/>
    <s v="Mobile"/>
    <s v="Chrome"/>
    <x v="0"/>
    <n v="14"/>
    <n v="1"/>
    <n v="16.989999999999998"/>
    <s v="Mobile_User"/>
    <n v="1.2135714285714285"/>
    <x v="0"/>
    <x v="0"/>
  </r>
  <r>
    <n v="1487894203"/>
    <d v="2017-02-23T00:00:00"/>
    <s v="Canada"/>
    <x v="24"/>
    <s v="Mobile"/>
    <s v="Chrome"/>
    <x v="0"/>
    <n v="16"/>
    <n v="1"/>
    <n v="16.989999999999998"/>
    <s v="Mobile_User"/>
    <n v="1.0618749999999999"/>
    <x v="4"/>
    <x v="0"/>
  </r>
  <r>
    <n v="1476487552"/>
    <d v="2016-10-14T00:00:00"/>
    <s v="United States"/>
    <x v="0"/>
    <s v="Mobile"/>
    <s v="Safari"/>
    <x v="1"/>
    <n v="23"/>
    <n v="1"/>
    <n v="16.989999999999998"/>
    <s v="Mobile_User"/>
    <n v="0.73869565217391298"/>
    <x v="0"/>
    <x v="0"/>
  </r>
  <r>
    <n v="1486067833"/>
    <d v="2017-02-02T00:00:00"/>
    <s v="United States"/>
    <x v="0"/>
    <s v="Mobile"/>
    <s v="Safari"/>
    <x v="1"/>
    <n v="18"/>
    <n v="1"/>
    <n v="16.989999999999998"/>
    <s v="Mobile_User"/>
    <n v="0.94388888888888878"/>
    <x v="4"/>
    <x v="0"/>
  </r>
  <r>
    <n v="1495140704"/>
    <d v="2017-05-18T00:00:00"/>
    <s v="United States"/>
    <x v="13"/>
    <s v="Mobile"/>
    <s v="Safari"/>
    <x v="0"/>
    <n v="16"/>
    <n v="1"/>
    <n v="16.989999999999998"/>
    <s v="Mobile_User"/>
    <n v="1.0618749999999999"/>
    <x v="4"/>
    <x v="0"/>
  </r>
  <r>
    <n v="1477514653"/>
    <d v="2016-10-26T00:00:00"/>
    <s v="United States"/>
    <x v="0"/>
    <s v="Mobile"/>
    <s v="Chrome"/>
    <x v="1"/>
    <n v="24"/>
    <n v="1"/>
    <n v="16.989999999999998"/>
    <s v="Mobile_User"/>
    <n v="0.70791666666666664"/>
    <x v="1"/>
    <x v="0"/>
  </r>
  <r>
    <n v="1477665382"/>
    <d v="2016-10-28T00:00:00"/>
    <s v="Georgia"/>
    <x v="26"/>
    <s v="Mobile"/>
    <s v="Safari"/>
    <x v="1"/>
    <n v="15"/>
    <n v="1"/>
    <n v="16.989999999999998"/>
    <s v="Mobile_User"/>
    <n v="1.1326666666666665"/>
    <x v="0"/>
    <x v="0"/>
  </r>
  <r>
    <n v="1474396370"/>
    <d v="2016-09-20T00:00:00"/>
    <s v="United States"/>
    <x v="18"/>
    <s v="Mobile"/>
    <s v="Chrome"/>
    <x v="0"/>
    <n v="13"/>
    <n v="1"/>
    <n v="16.989999999999998"/>
    <s v="Mobile_User"/>
    <n v="1.3069230769230769"/>
    <x v="6"/>
    <x v="0"/>
  </r>
  <r>
    <n v="1480680916"/>
    <d v="2016-12-02T00:00:00"/>
    <s v="United States"/>
    <x v="0"/>
    <s v="Mobile"/>
    <s v="Safari"/>
    <x v="1"/>
    <n v="13"/>
    <n v="1"/>
    <n v="16.989999999999998"/>
    <s v="Mobile_User"/>
    <n v="1.3069230769230769"/>
    <x v="0"/>
    <x v="0"/>
  </r>
  <r>
    <n v="1478289808"/>
    <d v="2016-11-04T00:00:00"/>
    <s v="United States"/>
    <x v="0"/>
    <s v="Mobile"/>
    <s v="Chrome"/>
    <x v="1"/>
    <n v="13"/>
    <n v="1"/>
    <n v="16.989999999999998"/>
    <s v="Mobile_User"/>
    <n v="1.3069230769230769"/>
    <x v="0"/>
    <x v="0"/>
  </r>
  <r>
    <n v="1500064472"/>
    <d v="2017-07-14T00:00:00"/>
    <s v="United States"/>
    <x v="0"/>
    <s v="Mobile"/>
    <s v="Safari"/>
    <x v="0"/>
    <n v="37"/>
    <n v="1"/>
    <n v="16.989999999999998"/>
    <s v="Mobile_User"/>
    <n v="0.45918918918918916"/>
    <x v="0"/>
    <x v="0"/>
  </r>
  <r>
    <n v="1477066394"/>
    <d v="2016-10-21T00:00:00"/>
    <s v="United States"/>
    <x v="17"/>
    <s v="Mobile"/>
    <s v="Chrome"/>
    <x v="1"/>
    <n v="24"/>
    <n v="1"/>
    <n v="16.989999999999998"/>
    <s v="Mobile_User"/>
    <n v="0.70791666666666664"/>
    <x v="0"/>
    <x v="0"/>
  </r>
  <r>
    <n v="1486084199"/>
    <d v="2017-02-02T00:00:00"/>
    <s v="United States"/>
    <x v="0"/>
    <s v="Mobile"/>
    <s v="Safari"/>
    <x v="1"/>
    <n v="28"/>
    <n v="1"/>
    <n v="16.989999999999998"/>
    <s v="Mobile_User"/>
    <n v="0.60678571428571426"/>
    <x v="4"/>
    <x v="0"/>
  </r>
  <r>
    <n v="1475478885"/>
    <d v="2016-10-03T00:00:00"/>
    <s v="United States"/>
    <x v="22"/>
    <s v="Mobile"/>
    <s v="Safari"/>
    <x v="1"/>
    <n v="13"/>
    <n v="1"/>
    <n v="16.989999999999998"/>
    <s v="Mobile_User"/>
    <n v="1.3069230769230769"/>
    <x v="3"/>
    <x v="0"/>
  </r>
  <r>
    <n v="1496776806"/>
    <d v="2017-06-06T00:00:00"/>
    <s v="United States"/>
    <x v="11"/>
    <s v="Mobile"/>
    <s v="Safari (in-app)"/>
    <x v="1"/>
    <n v="19"/>
    <n v="1"/>
    <n v="16.989999999999998"/>
    <s v="Mobile_User"/>
    <n v="0.89421052631578934"/>
    <x v="6"/>
    <x v="0"/>
  </r>
  <r>
    <n v="1482097342"/>
    <d v="2016-12-18T00:00:00"/>
    <s v="United States"/>
    <x v="0"/>
    <s v="Mobile"/>
    <s v="Chrome"/>
    <x v="1"/>
    <n v="12"/>
    <n v="1"/>
    <n v="16.989999999999998"/>
    <s v="Mobile_User"/>
    <n v="1.4158333333333333"/>
    <x v="2"/>
    <x v="0"/>
  </r>
  <r>
    <n v="1480571467"/>
    <d v="2016-11-30T00:00:00"/>
    <s v="United States"/>
    <x v="27"/>
    <s v="Mobile"/>
    <s v="Safari"/>
    <x v="1"/>
    <n v="12"/>
    <n v="1"/>
    <n v="16.989999999999998"/>
    <s v="Mobile_User"/>
    <n v="1.4158333333333333"/>
    <x v="1"/>
    <x v="0"/>
  </r>
  <r>
    <n v="1491691756"/>
    <d v="2017-04-08T00:00:00"/>
    <s v="United States"/>
    <x v="3"/>
    <s v="Mobile"/>
    <s v="Chrome"/>
    <x v="0"/>
    <n v="19"/>
    <n v="1"/>
    <n v="16.989999999999998"/>
    <s v="Mobile_User"/>
    <n v="0.89421052631578934"/>
    <x v="5"/>
    <x v="0"/>
  </r>
  <r>
    <n v="1500657438"/>
    <d v="2017-07-21T00:00:00"/>
    <s v="United States"/>
    <x v="0"/>
    <s v="Mobile"/>
    <s v="Safari"/>
    <x v="0"/>
    <n v="17"/>
    <n v="1"/>
    <n v="16.989999999999998"/>
    <s v="Mobile_User"/>
    <n v="0.99941176470588222"/>
    <x v="0"/>
    <x v="0"/>
  </r>
  <r>
    <n v="1492636729"/>
    <d v="2017-04-19T00:00:00"/>
    <s v="United States"/>
    <x v="0"/>
    <s v="Mobile"/>
    <s v="Chrome"/>
    <x v="0"/>
    <n v="29"/>
    <n v="1"/>
    <n v="17.489999999999998"/>
    <s v="Mobile_User"/>
    <n v="0.60310344827586204"/>
    <x v="1"/>
    <x v="0"/>
  </r>
  <r>
    <n v="1475887712"/>
    <d v="2016-10-07T00:00:00"/>
    <s v="United States"/>
    <x v="0"/>
    <s v="Mobile"/>
    <s v="Chrome"/>
    <x v="0"/>
    <n v="19"/>
    <n v="1"/>
    <n v="17.59"/>
    <s v="Mobile_User"/>
    <n v="0.9257894736842105"/>
    <x v="0"/>
    <x v="0"/>
  </r>
  <r>
    <n v="1484518851"/>
    <d v="2017-01-15T00:00:00"/>
    <s v="United States"/>
    <x v="0"/>
    <s v="Mobile"/>
    <s v="Safari"/>
    <x v="1"/>
    <n v="16"/>
    <n v="1"/>
    <n v="17.940000000000001"/>
    <s v="Mobile_User"/>
    <n v="1.1212500000000001"/>
    <x v="2"/>
    <x v="0"/>
  </r>
  <r>
    <n v="1487694703"/>
    <d v="2017-02-21T00:00:00"/>
    <s v="United States"/>
    <x v="1"/>
    <s v="Mobile"/>
    <s v="Safari"/>
    <x v="1"/>
    <n v="12"/>
    <n v="1"/>
    <n v="17.98"/>
    <s v="Mobile_User"/>
    <n v="1.4983333333333333"/>
    <x v="6"/>
    <x v="0"/>
  </r>
  <r>
    <n v="1497483714"/>
    <d v="2017-06-14T00:00:00"/>
    <s v="Canada"/>
    <x v="28"/>
    <s v="Mobile"/>
    <s v="Chrome"/>
    <x v="1"/>
    <n v="12"/>
    <n v="1"/>
    <n v="17.98"/>
    <s v="Mobile_User"/>
    <n v="1.4983333333333333"/>
    <x v="1"/>
    <x v="0"/>
  </r>
  <r>
    <n v="1474822870"/>
    <d v="2016-09-25T00:00:00"/>
    <s v="United States"/>
    <x v="10"/>
    <s v="Mobile"/>
    <s v="Chrome"/>
    <x v="1"/>
    <n v="23"/>
    <n v="1"/>
    <n v="17.98"/>
    <s v="Mobile_User"/>
    <n v="0.7817391304347826"/>
    <x v="2"/>
    <x v="0"/>
  </r>
  <r>
    <n v="1474779624"/>
    <d v="2016-09-24T00:00:00"/>
    <s v="United States"/>
    <x v="0"/>
    <s v="Mobile"/>
    <s v="Chrome"/>
    <x v="1"/>
    <n v="46"/>
    <n v="1"/>
    <n v="17.98"/>
    <s v="Mobile_User"/>
    <n v="0.3908695652173913"/>
    <x v="5"/>
    <x v="0"/>
  </r>
  <r>
    <n v="1490891216"/>
    <d v="2017-03-30T00:00:00"/>
    <s v="United States"/>
    <x v="8"/>
    <s v="Mobile"/>
    <s v="Safari"/>
    <x v="0"/>
    <n v="15"/>
    <n v="1"/>
    <n v="17.98"/>
    <s v="Mobile_User"/>
    <n v="1.1986666666666668"/>
    <x v="4"/>
    <x v="0"/>
  </r>
  <r>
    <n v="1471826978"/>
    <d v="2016-08-21T00:00:00"/>
    <s v="United States"/>
    <x v="17"/>
    <s v="Mobile"/>
    <s v="Chrome"/>
    <x v="0"/>
    <n v="11"/>
    <n v="1"/>
    <n v="18.260000000000002"/>
    <s v="Mobile_User"/>
    <n v="1.6600000000000001"/>
    <x v="2"/>
    <x v="0"/>
  </r>
  <r>
    <n v="1496416314"/>
    <d v="2017-06-02T00:00:00"/>
    <s v="United States"/>
    <x v="10"/>
    <s v="Mobile"/>
    <s v="Chrome"/>
    <x v="0"/>
    <n v="37"/>
    <n v="1"/>
    <n v="18.27"/>
    <s v="Mobile_User"/>
    <n v="0.49378378378378379"/>
    <x v="0"/>
    <x v="0"/>
  </r>
  <r>
    <n v="1482634297"/>
    <d v="2016-12-24T00:00:00"/>
    <s v="United States"/>
    <x v="0"/>
    <s v="Mobile"/>
    <s v="Chrome"/>
    <x v="0"/>
    <n v="80"/>
    <n v="1"/>
    <n v="18.45"/>
    <s v="Mobile_User"/>
    <n v="0.230625"/>
    <x v="5"/>
    <x v="0"/>
  </r>
  <r>
    <n v="1483073380"/>
    <d v="2016-12-29T00:00:00"/>
    <s v="United States"/>
    <x v="0"/>
    <s v="Mobile"/>
    <s v="Chrome"/>
    <x v="1"/>
    <n v="32"/>
    <n v="1"/>
    <n v="18.46"/>
    <s v="Mobile_User"/>
    <n v="0.57687500000000003"/>
    <x v="4"/>
    <x v="0"/>
  </r>
  <r>
    <n v="1490637090"/>
    <d v="2017-03-27T00:00:00"/>
    <s v="United States"/>
    <x v="0"/>
    <s v="Mobile"/>
    <s v="Chrome"/>
    <x v="0"/>
    <n v="23"/>
    <n v="1"/>
    <n v="18.48"/>
    <s v="Mobile_User"/>
    <n v="0.8034782608695652"/>
    <x v="3"/>
    <x v="0"/>
  </r>
  <r>
    <n v="1487820073"/>
    <d v="2017-02-22T00:00:00"/>
    <s v="United States"/>
    <x v="0"/>
    <s v="Mobile"/>
    <s v="Chrome"/>
    <x v="0"/>
    <n v="42"/>
    <n v="1"/>
    <n v="18.48"/>
    <s v="Mobile_User"/>
    <n v="0.44"/>
    <x v="1"/>
    <x v="0"/>
  </r>
  <r>
    <n v="1500052337"/>
    <d v="2017-07-14T00:00:00"/>
    <s v="United States"/>
    <x v="2"/>
    <s v="Mobile"/>
    <s v="Chrome"/>
    <x v="1"/>
    <n v="14"/>
    <n v="1"/>
    <n v="18.48"/>
    <s v="Mobile_User"/>
    <n v="1.32"/>
    <x v="0"/>
    <x v="0"/>
  </r>
  <r>
    <n v="1487570448"/>
    <d v="2017-02-19T00:00:00"/>
    <s v="Canada"/>
    <x v="0"/>
    <s v="Mobile"/>
    <s v="Chrome"/>
    <x v="0"/>
    <n v="28"/>
    <n v="1"/>
    <n v="18.97"/>
    <s v="Mobile_User"/>
    <n v="0.67749999999999999"/>
    <x v="2"/>
    <x v="0"/>
  </r>
  <r>
    <n v="1483657525"/>
    <d v="2017-01-05T00:00:00"/>
    <s v="United States"/>
    <x v="0"/>
    <s v="Mobile"/>
    <s v="Safari"/>
    <x v="1"/>
    <n v="27"/>
    <n v="1"/>
    <n v="18.98"/>
    <s v="Mobile_User"/>
    <n v="0.70296296296296301"/>
    <x v="4"/>
    <x v="0"/>
  </r>
  <r>
    <n v="1477169011"/>
    <d v="2016-10-22T00:00:00"/>
    <s v="United States"/>
    <x v="0"/>
    <s v="Mobile"/>
    <s v="Safari"/>
    <x v="1"/>
    <n v="25"/>
    <n v="1"/>
    <n v="18.98"/>
    <s v="Mobile_User"/>
    <n v="0.75919999999999999"/>
    <x v="5"/>
    <x v="0"/>
  </r>
  <r>
    <n v="1482080817"/>
    <d v="2016-12-18T00:00:00"/>
    <s v="United States"/>
    <x v="29"/>
    <s v="Mobile"/>
    <s v="Safari"/>
    <x v="1"/>
    <n v="32"/>
    <n v="1"/>
    <n v="18.98"/>
    <s v="Mobile_User"/>
    <n v="0.59312500000000001"/>
    <x v="2"/>
    <x v="0"/>
  </r>
  <r>
    <n v="1474780419"/>
    <d v="2016-09-24T00:00:00"/>
    <s v="United States"/>
    <x v="0"/>
    <s v="Mobile"/>
    <s v="Chrome"/>
    <x v="1"/>
    <n v="43"/>
    <n v="1"/>
    <n v="18.98"/>
    <s v="Mobile_User"/>
    <n v="0.44139534883720932"/>
    <x v="5"/>
    <x v="0"/>
  </r>
  <r>
    <n v="1496317173"/>
    <d v="2017-06-01T00:00:00"/>
    <s v="Canada"/>
    <x v="24"/>
    <s v="Mobile"/>
    <s v="Chrome"/>
    <x v="0"/>
    <n v="28"/>
    <n v="1"/>
    <n v="18.989999999999998"/>
    <s v="Mobile_User"/>
    <n v="0.67821428571428566"/>
    <x v="4"/>
    <x v="0"/>
  </r>
  <r>
    <n v="1475857311"/>
    <d v="2016-10-07T00:00:00"/>
    <s v="United States"/>
    <x v="0"/>
    <s v="Mobile"/>
    <s v="Safari"/>
    <x v="0"/>
    <n v="31"/>
    <n v="1"/>
    <n v="18.989999999999998"/>
    <s v="Mobile_User"/>
    <n v="0.61258064516129029"/>
    <x v="0"/>
    <x v="0"/>
  </r>
  <r>
    <n v="1480601444"/>
    <d v="2016-12-01T00:00:00"/>
    <s v="United States"/>
    <x v="0"/>
    <s v="Mobile"/>
    <s v="Chrome"/>
    <x v="1"/>
    <n v="16"/>
    <n v="1"/>
    <n v="18.989999999999998"/>
    <s v="Mobile_User"/>
    <n v="1.1868749999999999"/>
    <x v="4"/>
    <x v="0"/>
  </r>
  <r>
    <n v="1486147243"/>
    <d v="2017-02-03T00:00:00"/>
    <s v="United States"/>
    <x v="0"/>
    <s v="Mobile"/>
    <s v="Chrome"/>
    <x v="1"/>
    <n v="10"/>
    <n v="1"/>
    <n v="18.989999999999998"/>
    <s v="Mobile_User"/>
    <n v="1.8989999999999998"/>
    <x v="0"/>
    <x v="0"/>
  </r>
  <r>
    <n v="1476657371"/>
    <d v="2016-10-16T00:00:00"/>
    <s v="United States"/>
    <x v="0"/>
    <s v="Mobile"/>
    <s v="Safari"/>
    <x v="0"/>
    <n v="16"/>
    <n v="1"/>
    <n v="18.989999999999998"/>
    <s v="Mobile_User"/>
    <n v="1.1868749999999999"/>
    <x v="2"/>
    <x v="0"/>
  </r>
  <r>
    <n v="1484272649"/>
    <d v="2017-01-12T00:00:00"/>
    <s v="United States"/>
    <x v="0"/>
    <s v="Mobile"/>
    <s v="Chrome"/>
    <x v="1"/>
    <n v="15"/>
    <n v="1"/>
    <n v="18.989999999999998"/>
    <s v="Mobile_User"/>
    <n v="1.2659999999999998"/>
    <x v="4"/>
    <x v="0"/>
  </r>
  <r>
    <n v="1495921426"/>
    <d v="2017-05-27T00:00:00"/>
    <s v="United States"/>
    <x v="0"/>
    <s v="Mobile"/>
    <s v="Safari"/>
    <x v="0"/>
    <n v="14"/>
    <n v="1"/>
    <n v="18.989999999999998"/>
    <s v="Mobile_User"/>
    <n v="1.3564285714285713"/>
    <x v="5"/>
    <x v="0"/>
  </r>
  <r>
    <n v="1496959519"/>
    <d v="2017-06-08T00:00:00"/>
    <s v="United States"/>
    <x v="15"/>
    <s v="Mobile"/>
    <s v="Chrome"/>
    <x v="1"/>
    <n v="28"/>
    <n v="1"/>
    <n v="18.989999999999998"/>
    <s v="Mobile_User"/>
    <n v="0.67821428571428566"/>
    <x v="4"/>
    <x v="0"/>
  </r>
  <r>
    <n v="1479397954"/>
    <d v="2016-11-17T00:00:00"/>
    <s v="United States"/>
    <x v="0"/>
    <s v="Mobile"/>
    <s v="Chrome"/>
    <x v="1"/>
    <n v="53"/>
    <n v="1"/>
    <n v="18.989999999999998"/>
    <s v="Mobile_User"/>
    <n v="0.35830188679245278"/>
    <x v="4"/>
    <x v="0"/>
  </r>
  <r>
    <n v="1482175821"/>
    <d v="2016-12-19T00:00:00"/>
    <s v="United States"/>
    <x v="13"/>
    <s v="Mobile"/>
    <s v="Chrome"/>
    <x v="1"/>
    <n v="27"/>
    <n v="1"/>
    <n v="18.989999999999998"/>
    <s v="Mobile_User"/>
    <n v="0.70333333333333325"/>
    <x v="3"/>
    <x v="0"/>
  </r>
  <r>
    <n v="1481683518"/>
    <d v="2016-12-13T00:00:00"/>
    <s v="Canada"/>
    <x v="24"/>
    <s v="Mobile"/>
    <s v="Chrome"/>
    <x v="1"/>
    <n v="21"/>
    <n v="1"/>
    <n v="18.989999999999998"/>
    <s v="Mobile_User"/>
    <n v="0.90428571428571425"/>
    <x v="6"/>
    <x v="0"/>
  </r>
  <r>
    <n v="1487603071"/>
    <d v="2017-02-20T00:00:00"/>
    <s v="United States"/>
    <x v="18"/>
    <s v="Mobile"/>
    <s v="Chrome"/>
    <x v="0"/>
    <n v="18"/>
    <n v="1"/>
    <n v="18.989999999999998"/>
    <s v="Mobile_User"/>
    <n v="1.0549999999999999"/>
    <x v="3"/>
    <x v="0"/>
  </r>
  <r>
    <n v="1480090647"/>
    <d v="2016-11-25T00:00:00"/>
    <s v="United States"/>
    <x v="0"/>
    <s v="Mobile"/>
    <s v="Chrome"/>
    <x v="1"/>
    <n v="16"/>
    <n v="1"/>
    <n v="18.989999999999998"/>
    <s v="Mobile_User"/>
    <n v="1.1868749999999999"/>
    <x v="0"/>
    <x v="0"/>
  </r>
  <r>
    <n v="1477273098"/>
    <d v="2016-10-23T00:00:00"/>
    <s v="United States"/>
    <x v="0"/>
    <s v="Mobile"/>
    <s v="Safari"/>
    <x v="1"/>
    <n v="53"/>
    <n v="1"/>
    <n v="18.989999999999998"/>
    <s v="Mobile_User"/>
    <n v="0.35830188679245278"/>
    <x v="2"/>
    <x v="0"/>
  </r>
  <r>
    <n v="1481929830"/>
    <d v="2016-12-16T00:00:00"/>
    <s v="United States"/>
    <x v="0"/>
    <s v="Mobile"/>
    <s v="Safari"/>
    <x v="1"/>
    <n v="13"/>
    <n v="1"/>
    <n v="18.989999999999998"/>
    <s v="Mobile_User"/>
    <n v="1.4607692307692306"/>
    <x v="0"/>
    <x v="0"/>
  </r>
  <r>
    <n v="1481573930"/>
    <d v="2016-12-12T00:00:00"/>
    <s v="United States"/>
    <x v="6"/>
    <s v="Mobile"/>
    <s v="Safari"/>
    <x v="1"/>
    <n v="13"/>
    <n v="1"/>
    <n v="18.989999999999998"/>
    <s v="Mobile_User"/>
    <n v="1.4607692307692306"/>
    <x v="3"/>
    <x v="0"/>
  </r>
  <r>
    <n v="1480974918"/>
    <d v="2016-12-05T00:00:00"/>
    <s v="United States"/>
    <x v="0"/>
    <s v="Mobile"/>
    <s v="Chrome"/>
    <x v="1"/>
    <n v="23"/>
    <n v="1"/>
    <n v="18.989999999999998"/>
    <s v="Mobile_User"/>
    <n v="0.82565217391304346"/>
    <x v="3"/>
    <x v="0"/>
  </r>
  <r>
    <n v="1486927866"/>
    <d v="2017-02-12T00:00:00"/>
    <s v="United States"/>
    <x v="0"/>
    <s v="Mobile"/>
    <s v="Safari"/>
    <x v="0"/>
    <n v="13"/>
    <n v="1"/>
    <n v="18.989999999999998"/>
    <s v="Mobile_User"/>
    <n v="1.4607692307692306"/>
    <x v="2"/>
    <x v="0"/>
  </r>
  <r>
    <n v="1480876654"/>
    <d v="2016-12-04T00:00:00"/>
    <s v="United States"/>
    <x v="0"/>
    <s v="Mobile"/>
    <s v="Safari"/>
    <x v="1"/>
    <n v="17"/>
    <n v="1"/>
    <n v="18.989999999999998"/>
    <s v="Mobile_User"/>
    <n v="1.1170588235294117"/>
    <x v="2"/>
    <x v="0"/>
  </r>
  <r>
    <n v="1498838558"/>
    <d v="2017-06-30T00:00:00"/>
    <s v="United States"/>
    <x v="0"/>
    <s v="Mobile"/>
    <s v="Chrome"/>
    <x v="1"/>
    <n v="21"/>
    <n v="1"/>
    <n v="18.989999999999998"/>
    <s v="Mobile_User"/>
    <n v="0.90428571428571425"/>
    <x v="0"/>
    <x v="0"/>
  </r>
  <r>
    <n v="1489795021"/>
    <d v="2017-03-17T00:00:00"/>
    <s v="United States"/>
    <x v="0"/>
    <s v="Mobile"/>
    <s v="Chrome"/>
    <x v="0"/>
    <n v="24"/>
    <n v="1"/>
    <n v="18.989999999999998"/>
    <s v="Mobile_User"/>
    <n v="0.7912499999999999"/>
    <x v="0"/>
    <x v="0"/>
  </r>
  <r>
    <n v="1499122026"/>
    <d v="2017-07-03T00:00:00"/>
    <s v="United States"/>
    <x v="0"/>
    <s v="Mobile"/>
    <s v="Safari"/>
    <x v="0"/>
    <n v="20"/>
    <n v="1"/>
    <n v="18.989999999999998"/>
    <s v="Mobile_User"/>
    <n v="0.9494999999999999"/>
    <x v="3"/>
    <x v="0"/>
  </r>
  <r>
    <n v="1499450297"/>
    <d v="2017-07-07T00:00:00"/>
    <s v="United States"/>
    <x v="4"/>
    <s v="Mobile"/>
    <s v="Safari"/>
    <x v="0"/>
    <n v="13"/>
    <n v="1"/>
    <n v="18.989999999999998"/>
    <s v="Mobile_User"/>
    <n v="1.4607692307692306"/>
    <x v="0"/>
    <x v="0"/>
  </r>
  <r>
    <n v="1482721907"/>
    <d v="2016-12-25T00:00:00"/>
    <s v="United States"/>
    <x v="3"/>
    <s v="Mobile"/>
    <s v="Safari"/>
    <x v="0"/>
    <n v="14"/>
    <n v="1"/>
    <n v="18.989999999999998"/>
    <s v="Mobile_User"/>
    <n v="1.3564285714285713"/>
    <x v="2"/>
    <x v="0"/>
  </r>
  <r>
    <n v="1482520942"/>
    <d v="2016-12-23T00:00:00"/>
    <s v="United States"/>
    <x v="1"/>
    <s v="Mobile"/>
    <s v="Safari"/>
    <x v="1"/>
    <n v="15"/>
    <n v="1"/>
    <n v="18.989999999999998"/>
    <s v="Mobile_User"/>
    <n v="1.2659999999999998"/>
    <x v="0"/>
    <x v="0"/>
  </r>
  <r>
    <n v="1481934995"/>
    <d v="2016-12-16T00:00:00"/>
    <s v="United States"/>
    <x v="0"/>
    <s v="Mobile"/>
    <s v="Safari"/>
    <x v="1"/>
    <n v="14"/>
    <n v="1"/>
    <n v="18.989999999999998"/>
    <s v="Mobile_User"/>
    <n v="1.3564285714285713"/>
    <x v="0"/>
    <x v="0"/>
  </r>
  <r>
    <n v="1495206625"/>
    <d v="2017-05-19T00:00:00"/>
    <s v="United States"/>
    <x v="3"/>
    <s v="Mobile"/>
    <s v="Safari"/>
    <x v="0"/>
    <n v="19"/>
    <n v="1"/>
    <n v="18.989999999999998"/>
    <s v="Mobile_User"/>
    <n v="0.99947368421052618"/>
    <x v="0"/>
    <x v="0"/>
  </r>
  <r>
    <n v="1489477049"/>
    <d v="2017-03-14T00:00:00"/>
    <s v="United States"/>
    <x v="13"/>
    <s v="Mobile"/>
    <s v="Safari"/>
    <x v="0"/>
    <n v="9"/>
    <n v="1"/>
    <n v="18.989999999999998"/>
    <s v="Mobile_User"/>
    <n v="2.11"/>
    <x v="6"/>
    <x v="0"/>
  </r>
  <r>
    <n v="1475442087"/>
    <d v="2016-10-02T00:00:00"/>
    <s v="United States"/>
    <x v="18"/>
    <s v="Mobile"/>
    <s v="Safari"/>
    <x v="0"/>
    <n v="18"/>
    <n v="1"/>
    <n v="18.989999999999998"/>
    <s v="Mobile_User"/>
    <n v="1.0549999999999999"/>
    <x v="2"/>
    <x v="0"/>
  </r>
  <r>
    <n v="1494622534"/>
    <d v="2017-05-12T00:00:00"/>
    <s v="United States"/>
    <x v="0"/>
    <s v="Mobile"/>
    <s v="Chrome"/>
    <x v="0"/>
    <n v="11"/>
    <n v="1"/>
    <n v="18.989999999999998"/>
    <s v="Mobile_User"/>
    <n v="1.7263636363636363"/>
    <x v="0"/>
    <x v="0"/>
  </r>
  <r>
    <n v="1486248782"/>
    <d v="2017-02-04T00:00:00"/>
    <s v="United States"/>
    <x v="0"/>
    <s v="Mobile"/>
    <s v="Safari"/>
    <x v="1"/>
    <n v="30"/>
    <n v="1"/>
    <n v="18.989999999999998"/>
    <s v="Mobile_User"/>
    <n v="0.6329999999999999"/>
    <x v="5"/>
    <x v="0"/>
  </r>
  <r>
    <n v="1498098913"/>
    <d v="2017-06-21T00:00:00"/>
    <s v="United States"/>
    <x v="0"/>
    <s v="Mobile"/>
    <s v="Safari"/>
    <x v="1"/>
    <n v="17"/>
    <n v="1"/>
    <n v="18.989999999999998"/>
    <s v="Mobile_User"/>
    <n v="1.1170588235294117"/>
    <x v="1"/>
    <x v="0"/>
  </r>
  <r>
    <n v="1479687903"/>
    <d v="2016-11-20T00:00:00"/>
    <s v="United States"/>
    <x v="0"/>
    <s v="Mobile"/>
    <s v="Firefox"/>
    <x v="1"/>
    <n v="35"/>
    <n v="1"/>
    <n v="18.989999999999998"/>
    <s v="Mobile_User"/>
    <n v="0.54257142857142848"/>
    <x v="2"/>
    <x v="0"/>
  </r>
  <r>
    <n v="1481511099"/>
    <d v="2016-12-11T00:00:00"/>
    <s v="United States"/>
    <x v="0"/>
    <s v="Mobile"/>
    <s v="Safari"/>
    <x v="1"/>
    <n v="20"/>
    <n v="1"/>
    <n v="18.989999999999998"/>
    <s v="Mobile_User"/>
    <n v="0.9494999999999999"/>
    <x v="2"/>
    <x v="0"/>
  </r>
  <r>
    <n v="1493411447"/>
    <d v="2017-04-28T00:00:00"/>
    <s v="United States"/>
    <x v="0"/>
    <s v="Mobile"/>
    <s v="Chrome"/>
    <x v="0"/>
    <n v="16"/>
    <n v="1"/>
    <n v="18.989999999999998"/>
    <s v="Mobile_User"/>
    <n v="1.1868749999999999"/>
    <x v="0"/>
    <x v="0"/>
  </r>
  <r>
    <n v="1484000332"/>
    <d v="2017-01-09T00:00:00"/>
    <s v="United States"/>
    <x v="0"/>
    <s v="Mobile"/>
    <s v="Safari (in-app)"/>
    <x v="1"/>
    <n v="8"/>
    <n v="1"/>
    <n v="18.989999999999998"/>
    <s v="Mobile_User"/>
    <n v="2.3737499999999998"/>
    <x v="3"/>
    <x v="0"/>
  </r>
  <r>
    <n v="1477612642"/>
    <d v="2016-10-27T00:00:00"/>
    <s v="United States"/>
    <x v="0"/>
    <s v="Mobile"/>
    <s v="Safari"/>
    <x v="0"/>
    <n v="14"/>
    <n v="1"/>
    <n v="18.989999999999998"/>
    <s v="Mobile_User"/>
    <n v="1.3564285714285713"/>
    <x v="4"/>
    <x v="0"/>
  </r>
  <r>
    <n v="1498773943"/>
    <d v="2017-06-29T00:00:00"/>
    <s v="United States"/>
    <x v="0"/>
    <s v="Mobile"/>
    <s v="Safari"/>
    <x v="1"/>
    <n v="12"/>
    <n v="1"/>
    <n v="18.989999999999998"/>
    <s v="Mobile_User"/>
    <n v="1.5824999999999998"/>
    <x v="4"/>
    <x v="0"/>
  </r>
  <r>
    <n v="1492025860"/>
    <d v="2017-04-12T00:00:00"/>
    <s v="United States"/>
    <x v="0"/>
    <s v="Mobile"/>
    <s v="Chrome"/>
    <x v="1"/>
    <n v="13"/>
    <n v="1"/>
    <n v="18.989999999999998"/>
    <s v="Mobile_User"/>
    <n v="1.4607692307692306"/>
    <x v="1"/>
    <x v="0"/>
  </r>
  <r>
    <n v="1497924345"/>
    <d v="2017-06-19T00:00:00"/>
    <s v="United States"/>
    <x v="4"/>
    <s v="Mobile"/>
    <s v="Safari"/>
    <x v="1"/>
    <n v="37"/>
    <n v="1"/>
    <n v="18.989999999999998"/>
    <s v="Mobile_User"/>
    <n v="0.51324324324324322"/>
    <x v="3"/>
    <x v="0"/>
  </r>
  <r>
    <n v="1489431679"/>
    <d v="2017-03-13T00:00:00"/>
    <s v="United States"/>
    <x v="0"/>
    <s v="Mobile"/>
    <s v="Chrome"/>
    <x v="1"/>
    <n v="18"/>
    <n v="1"/>
    <n v="18.989999999999998"/>
    <s v="Mobile_User"/>
    <n v="1.0549999999999999"/>
    <x v="3"/>
    <x v="0"/>
  </r>
  <r>
    <n v="1487463037"/>
    <d v="2017-02-18T00:00:00"/>
    <s v="United States"/>
    <x v="0"/>
    <s v="Mobile"/>
    <s v="Chrome"/>
    <x v="1"/>
    <n v="16"/>
    <n v="1"/>
    <n v="18.989999999999998"/>
    <s v="Mobile_User"/>
    <n v="1.1868749999999999"/>
    <x v="5"/>
    <x v="0"/>
  </r>
  <r>
    <n v="1483031518"/>
    <d v="2016-12-29T00:00:00"/>
    <s v="United States"/>
    <x v="0"/>
    <s v="Mobile"/>
    <s v="Safari"/>
    <x v="1"/>
    <n v="12"/>
    <n v="1"/>
    <n v="18.989999999999998"/>
    <s v="Mobile_User"/>
    <n v="1.5824999999999998"/>
    <x v="4"/>
    <x v="0"/>
  </r>
  <r>
    <n v="1481375422"/>
    <d v="2016-12-10T00:00:00"/>
    <s v="United States"/>
    <x v="0"/>
    <s v="Mobile"/>
    <s v="Safari"/>
    <x v="1"/>
    <n v="14"/>
    <n v="1"/>
    <n v="18.989999999999998"/>
    <s v="Mobile_User"/>
    <n v="1.3564285714285713"/>
    <x v="5"/>
    <x v="0"/>
  </r>
  <r>
    <n v="1488239940"/>
    <d v="2017-02-27T00:00:00"/>
    <s v="United States"/>
    <x v="8"/>
    <s v="Mobile"/>
    <s v="Safari"/>
    <x v="0"/>
    <n v="35"/>
    <n v="1"/>
    <n v="19.48"/>
    <s v="Mobile_User"/>
    <n v="0.55657142857142861"/>
    <x v="3"/>
    <x v="0"/>
  </r>
  <r>
    <n v="1473476950"/>
    <d v="2016-09-09T00:00:00"/>
    <s v="United States"/>
    <x v="0"/>
    <s v="Mobile"/>
    <s v="Chrome"/>
    <x v="0"/>
    <n v="11"/>
    <n v="1"/>
    <n v="19.489999999999998"/>
    <s v="Mobile_User"/>
    <n v="1.7718181818181817"/>
    <x v="0"/>
    <x v="0"/>
  </r>
  <r>
    <n v="1492038683"/>
    <d v="2017-04-12T00:00:00"/>
    <s v="Canada"/>
    <x v="0"/>
    <s v="Mobile"/>
    <s v="Chrome"/>
    <x v="1"/>
    <n v="9"/>
    <n v="1"/>
    <n v="19.95"/>
    <s v="Mobile_User"/>
    <n v="2.2166666666666668"/>
    <x v="1"/>
    <x v="0"/>
  </r>
  <r>
    <n v="1495851085"/>
    <d v="2017-05-26T00:00:00"/>
    <s v="United States"/>
    <x v="0"/>
    <s v="Mobile"/>
    <s v="Chrome"/>
    <x v="0"/>
    <n v="22"/>
    <n v="1"/>
    <n v="19.97"/>
    <s v="Mobile_User"/>
    <n v="0.90772727272727272"/>
    <x v="0"/>
    <x v="0"/>
  </r>
  <r>
    <n v="1494414177"/>
    <d v="2017-05-10T00:00:00"/>
    <s v="United States"/>
    <x v="0"/>
    <s v="Mobile"/>
    <s v="Chrome"/>
    <x v="0"/>
    <n v="21"/>
    <n v="1"/>
    <n v="19.989999999999998"/>
    <s v="Mobile_User"/>
    <n v="0.95190476190476181"/>
    <x v="1"/>
    <x v="0"/>
  </r>
  <r>
    <n v="1485225785"/>
    <d v="2017-01-23T00:00:00"/>
    <s v="United States"/>
    <x v="0"/>
    <s v="Mobile"/>
    <s v="Safari"/>
    <x v="1"/>
    <n v="13"/>
    <n v="1"/>
    <n v="19.989999999999998"/>
    <s v="Mobile_User"/>
    <n v="1.5376923076923075"/>
    <x v="3"/>
    <x v="0"/>
  </r>
  <r>
    <n v="1475354799"/>
    <d v="2016-10-01T00:00:00"/>
    <s v="United States"/>
    <x v="0"/>
    <s v="Mobile"/>
    <s v="Chrome"/>
    <x v="0"/>
    <n v="39"/>
    <n v="1"/>
    <n v="19.989999999999998"/>
    <s v="Mobile_User"/>
    <n v="0.51256410256410256"/>
    <x v="5"/>
    <x v="0"/>
  </r>
  <r>
    <n v="1480828188"/>
    <d v="2016-12-03T00:00:00"/>
    <s v="United States"/>
    <x v="0"/>
    <s v="Mobile"/>
    <s v="Safari"/>
    <x v="1"/>
    <n v="12"/>
    <n v="1"/>
    <n v="19.989999999999998"/>
    <s v="Mobile_User"/>
    <n v="1.6658333333333333"/>
    <x v="5"/>
    <x v="0"/>
  </r>
  <r>
    <n v="1495075713"/>
    <d v="2017-05-17T00:00:00"/>
    <s v="United States"/>
    <x v="0"/>
    <s v="Mobile"/>
    <s v="Chrome"/>
    <x v="1"/>
    <n v="21"/>
    <n v="1"/>
    <n v="19.989999999999998"/>
    <s v="Mobile_User"/>
    <n v="0.95190476190476181"/>
    <x v="1"/>
    <x v="0"/>
  </r>
  <r>
    <n v="1495676587"/>
    <d v="2017-05-24T00:00:00"/>
    <s v="United States"/>
    <x v="18"/>
    <s v="Mobile"/>
    <s v="Chrome"/>
    <x v="0"/>
    <n v="21"/>
    <n v="1"/>
    <n v="19.989999999999998"/>
    <s v="Mobile_User"/>
    <n v="0.95190476190476181"/>
    <x v="1"/>
    <x v="0"/>
  </r>
  <r>
    <n v="1485359576"/>
    <d v="2017-01-25T00:00:00"/>
    <s v="United States"/>
    <x v="6"/>
    <s v="Mobile"/>
    <s v="Chrome"/>
    <x v="1"/>
    <n v="26"/>
    <n v="1"/>
    <n v="20.49"/>
    <s v="Mobile_User"/>
    <n v="0.78807692307692301"/>
    <x v="1"/>
    <x v="1"/>
  </r>
  <r>
    <n v="1495697107"/>
    <d v="2017-05-25T00:00:00"/>
    <s v="United States"/>
    <x v="0"/>
    <s v="Mobile"/>
    <s v="Chrome"/>
    <x v="1"/>
    <n v="28"/>
    <n v="1"/>
    <n v="20.49"/>
    <s v="Mobile_User"/>
    <n v="0.73178571428571426"/>
    <x v="4"/>
    <x v="1"/>
  </r>
  <r>
    <n v="1471661138"/>
    <d v="2016-08-19T00:00:00"/>
    <s v="United States"/>
    <x v="15"/>
    <s v="Mobile"/>
    <s v="Chrome"/>
    <x v="0"/>
    <n v="17"/>
    <n v="1"/>
    <n v="20.62"/>
    <s v="Mobile_User"/>
    <n v="1.2129411764705882"/>
    <x v="0"/>
    <x v="1"/>
  </r>
  <r>
    <n v="1474231165"/>
    <d v="2016-09-18T00:00:00"/>
    <s v="United States"/>
    <x v="0"/>
    <s v="Mobile"/>
    <s v="Chrome"/>
    <x v="0"/>
    <n v="45"/>
    <n v="1"/>
    <n v="20.97"/>
    <s v="Mobile_User"/>
    <n v="0.46599999999999997"/>
    <x v="2"/>
    <x v="1"/>
  </r>
  <r>
    <n v="1500871732"/>
    <d v="2017-07-23T00:00:00"/>
    <s v="United States"/>
    <x v="0"/>
    <s v="Mobile"/>
    <s v="Safari"/>
    <x v="1"/>
    <n v="19"/>
    <n v="1"/>
    <n v="20.99"/>
    <s v="Mobile_User"/>
    <n v="1.104736842105263"/>
    <x v="2"/>
    <x v="1"/>
  </r>
  <r>
    <n v="1497207228"/>
    <d v="2017-06-11T00:00:00"/>
    <s v="United States"/>
    <x v="30"/>
    <s v="Mobile"/>
    <s v="Safari"/>
    <x v="1"/>
    <n v="16"/>
    <n v="1"/>
    <n v="20.99"/>
    <s v="Mobile_User"/>
    <n v="1.3118749999999999"/>
    <x v="2"/>
    <x v="1"/>
  </r>
  <r>
    <n v="1474141892"/>
    <d v="2016-09-17T00:00:00"/>
    <s v="United States"/>
    <x v="0"/>
    <s v="Mobile"/>
    <s v="Safari"/>
    <x v="0"/>
    <n v="29"/>
    <n v="1"/>
    <n v="21"/>
    <s v="Mobile_User"/>
    <n v="0.72413793103448276"/>
    <x v="5"/>
    <x v="1"/>
  </r>
  <r>
    <n v="1494178716"/>
    <d v="2017-05-07T00:00:00"/>
    <s v="United States"/>
    <x v="0"/>
    <s v="Mobile"/>
    <s v="Chrome"/>
    <x v="0"/>
    <n v="27"/>
    <n v="1"/>
    <n v="21.27"/>
    <s v="Mobile_User"/>
    <n v="0.7877777777777778"/>
    <x v="2"/>
    <x v="1"/>
  </r>
  <r>
    <n v="1500985147"/>
    <d v="2017-07-25T00:00:00"/>
    <s v="United States"/>
    <x v="0"/>
    <s v="Mobile"/>
    <s v="Safari"/>
    <x v="0"/>
    <n v="14"/>
    <n v="1"/>
    <n v="21.3"/>
    <s v="Mobile_User"/>
    <n v="1.5214285714285716"/>
    <x v="6"/>
    <x v="1"/>
  </r>
  <r>
    <n v="1488850890"/>
    <d v="2017-03-06T00:00:00"/>
    <s v="United States"/>
    <x v="0"/>
    <s v="Mobile"/>
    <s v="Safari"/>
    <x v="0"/>
    <n v="28"/>
    <n v="1"/>
    <n v="21.46"/>
    <s v="Mobile_User"/>
    <n v="0.76642857142857146"/>
    <x v="3"/>
    <x v="1"/>
  </r>
  <r>
    <n v="1474509169"/>
    <d v="2016-09-21T00:00:00"/>
    <s v="United States"/>
    <x v="0"/>
    <s v="Mobile"/>
    <s v="Chrome"/>
    <x v="1"/>
    <n v="17"/>
    <n v="1"/>
    <n v="21.98"/>
    <s v="Mobile_User"/>
    <n v="1.2929411764705883"/>
    <x v="1"/>
    <x v="1"/>
  </r>
  <r>
    <n v="1489296576"/>
    <d v="2017-03-11T00:00:00"/>
    <s v="United States"/>
    <x v="0"/>
    <s v="Mobile"/>
    <s v="Safari"/>
    <x v="0"/>
    <n v="23"/>
    <n v="1"/>
    <n v="21.98"/>
    <s v="Mobile_User"/>
    <n v="0.95565217391304347"/>
    <x v="5"/>
    <x v="1"/>
  </r>
  <r>
    <n v="1486831130"/>
    <d v="2017-02-11T00:00:00"/>
    <s v="Canada"/>
    <x v="0"/>
    <s v="Mobile"/>
    <s v="Chrome"/>
    <x v="1"/>
    <n v="23"/>
    <n v="1"/>
    <n v="21.98"/>
    <s v="Mobile_User"/>
    <n v="0.95565217391304347"/>
    <x v="5"/>
    <x v="1"/>
  </r>
  <r>
    <n v="1498334767"/>
    <d v="2017-06-24T00:00:00"/>
    <s v="United States"/>
    <x v="0"/>
    <s v="Mobile"/>
    <s v="Chrome"/>
    <x v="1"/>
    <n v="21"/>
    <n v="1"/>
    <n v="21.98"/>
    <s v="Mobile_User"/>
    <n v="1.0466666666666666"/>
    <x v="5"/>
    <x v="1"/>
  </r>
  <r>
    <n v="1475960255"/>
    <d v="2016-10-08T00:00:00"/>
    <s v="United States"/>
    <x v="0"/>
    <s v="Mobile"/>
    <s v="Chrome"/>
    <x v="1"/>
    <n v="47"/>
    <n v="1"/>
    <n v="21.98"/>
    <s v="Mobile_User"/>
    <n v="0.46765957446808509"/>
    <x v="5"/>
    <x v="1"/>
  </r>
  <r>
    <n v="1486398057"/>
    <d v="2017-02-06T00:00:00"/>
    <s v="United States"/>
    <x v="0"/>
    <s v="Mobile"/>
    <s v="Safari"/>
    <x v="1"/>
    <n v="24"/>
    <n v="1"/>
    <n v="21.98"/>
    <s v="Mobile_User"/>
    <n v="0.91583333333333339"/>
    <x v="3"/>
    <x v="1"/>
  </r>
  <r>
    <n v="1490904672"/>
    <d v="2017-03-30T00:00:00"/>
    <s v="United States"/>
    <x v="2"/>
    <s v="Mobile"/>
    <s v="Safari"/>
    <x v="1"/>
    <n v="10"/>
    <n v="1"/>
    <n v="21.98"/>
    <s v="Mobile_User"/>
    <n v="2.198"/>
    <x v="4"/>
    <x v="1"/>
  </r>
  <r>
    <n v="1484010104"/>
    <d v="2017-01-09T00:00:00"/>
    <s v="United States"/>
    <x v="0"/>
    <s v="Mobile"/>
    <s v="Chrome"/>
    <x v="1"/>
    <n v="31"/>
    <n v="1"/>
    <n v="21.98"/>
    <s v="Mobile_User"/>
    <n v="0.7090322580645162"/>
    <x v="3"/>
    <x v="1"/>
  </r>
  <r>
    <n v="1497216260"/>
    <d v="2017-06-11T00:00:00"/>
    <s v="United States"/>
    <x v="0"/>
    <s v="Mobile"/>
    <s v="Chrome"/>
    <x v="1"/>
    <n v="16"/>
    <n v="1"/>
    <n v="21.99"/>
    <s v="Mobile_User"/>
    <n v="1.3743749999999999"/>
    <x v="2"/>
    <x v="1"/>
  </r>
  <r>
    <n v="1484027155"/>
    <d v="2017-01-09T00:00:00"/>
    <s v="United States"/>
    <x v="0"/>
    <s v="Mobile"/>
    <s v="Safari"/>
    <x v="1"/>
    <n v="24"/>
    <n v="1"/>
    <n v="21.99"/>
    <s v="Mobile_User"/>
    <n v="0.9162499999999999"/>
    <x v="3"/>
    <x v="1"/>
  </r>
  <r>
    <n v="1481336196"/>
    <d v="2016-12-09T00:00:00"/>
    <s v="United States"/>
    <x v="0"/>
    <s v="Mobile"/>
    <s v="Chrome"/>
    <x v="1"/>
    <n v="15"/>
    <n v="1"/>
    <n v="21.99"/>
    <s v="Mobile_User"/>
    <n v="1.466"/>
    <x v="0"/>
    <x v="1"/>
  </r>
  <r>
    <n v="1475860607"/>
    <d v="2016-10-07T00:00:00"/>
    <s v="United States"/>
    <x v="1"/>
    <s v="Mobile"/>
    <s v="Safari"/>
    <x v="1"/>
    <n v="18"/>
    <n v="1"/>
    <n v="21.99"/>
    <s v="Mobile_User"/>
    <n v="1.2216666666666667"/>
    <x v="0"/>
    <x v="1"/>
  </r>
  <r>
    <n v="1495162183"/>
    <d v="2017-05-18T00:00:00"/>
    <s v="United States"/>
    <x v="2"/>
    <s v="Mobile"/>
    <s v="Chrome"/>
    <x v="0"/>
    <n v="15"/>
    <n v="1"/>
    <n v="21.99"/>
    <s v="Mobile_User"/>
    <n v="1.466"/>
    <x v="4"/>
    <x v="1"/>
  </r>
  <r>
    <n v="1474776589"/>
    <d v="2016-09-24T00:00:00"/>
    <s v="United States"/>
    <x v="0"/>
    <s v="Mobile"/>
    <s v="Safari"/>
    <x v="1"/>
    <n v="17"/>
    <n v="1"/>
    <n v="21.99"/>
    <s v="Mobile_User"/>
    <n v="1.2935294117647058"/>
    <x v="5"/>
    <x v="1"/>
  </r>
  <r>
    <n v="1493056268"/>
    <d v="2017-04-24T00:00:00"/>
    <s v="United States"/>
    <x v="0"/>
    <s v="Mobile"/>
    <s v="Safari"/>
    <x v="0"/>
    <n v="22"/>
    <n v="1"/>
    <n v="21.99"/>
    <s v="Mobile_User"/>
    <n v="0.99954545454545451"/>
    <x v="3"/>
    <x v="1"/>
  </r>
  <r>
    <n v="1491557292"/>
    <d v="2017-04-07T00:00:00"/>
    <s v="Georgia"/>
    <x v="0"/>
    <s v="Mobile"/>
    <s v="Safari"/>
    <x v="0"/>
    <n v="15"/>
    <n v="1"/>
    <n v="21.99"/>
    <s v="Mobile_User"/>
    <n v="1.466"/>
    <x v="0"/>
    <x v="1"/>
  </r>
  <r>
    <n v="1476711020"/>
    <d v="2016-10-17T00:00:00"/>
    <s v="United States"/>
    <x v="31"/>
    <s v="Mobile"/>
    <s v="Chrome"/>
    <x v="1"/>
    <n v="11"/>
    <n v="1"/>
    <n v="22.48"/>
    <s v="Mobile_User"/>
    <n v="2.0436363636363635"/>
    <x v="3"/>
    <x v="1"/>
  </r>
  <r>
    <n v="1480620348"/>
    <d v="2016-12-01T00:00:00"/>
    <s v="United States"/>
    <x v="0"/>
    <s v="Mobile"/>
    <s v="Safari"/>
    <x v="1"/>
    <n v="17"/>
    <n v="1"/>
    <n v="22.73"/>
    <s v="Mobile_User"/>
    <n v="1.3370588235294119"/>
    <x v="4"/>
    <x v="1"/>
  </r>
  <r>
    <n v="1485562664"/>
    <d v="2017-01-27T00:00:00"/>
    <s v="United States"/>
    <x v="0"/>
    <s v="Mobile"/>
    <s v="Safari"/>
    <x v="1"/>
    <n v="38"/>
    <n v="1"/>
    <n v="22.88"/>
    <s v="Mobile_User"/>
    <n v="0.6021052631578947"/>
    <x v="0"/>
    <x v="1"/>
  </r>
  <r>
    <n v="1498063761"/>
    <d v="2017-06-21T00:00:00"/>
    <s v="United States"/>
    <x v="0"/>
    <s v="Mobile"/>
    <s v="Chrome"/>
    <x v="1"/>
    <n v="39"/>
    <n v="1"/>
    <n v="22.95"/>
    <s v="Mobile_User"/>
    <n v="0.58846153846153848"/>
    <x v="1"/>
    <x v="1"/>
  </r>
  <r>
    <n v="1483736730"/>
    <d v="2017-01-06T00:00:00"/>
    <s v="United States"/>
    <x v="4"/>
    <s v="Mobile"/>
    <s v="Safari"/>
    <x v="1"/>
    <n v="30"/>
    <n v="1"/>
    <n v="22.97"/>
    <s v="Mobile_User"/>
    <n v="0.76566666666666661"/>
    <x v="0"/>
    <x v="1"/>
  </r>
  <r>
    <n v="1488740449"/>
    <d v="2017-03-05T00:00:00"/>
    <s v="United States"/>
    <x v="1"/>
    <s v="Mobile"/>
    <s v="Chrome"/>
    <x v="0"/>
    <n v="33"/>
    <n v="1"/>
    <n v="22.99"/>
    <s v="Mobile_User"/>
    <n v="0.69666666666666666"/>
    <x v="2"/>
    <x v="1"/>
  </r>
  <r>
    <n v="1490738815"/>
    <d v="2017-03-28T00:00:00"/>
    <s v="United States"/>
    <x v="0"/>
    <s v="Mobile"/>
    <s v="Safari"/>
    <x v="0"/>
    <n v="14"/>
    <n v="1"/>
    <n v="22.99"/>
    <s v="Mobile_User"/>
    <n v="1.6421428571428571"/>
    <x v="6"/>
    <x v="1"/>
  </r>
  <r>
    <n v="1501351234"/>
    <d v="2017-07-29T00:00:00"/>
    <s v="United States"/>
    <x v="2"/>
    <s v="Mobile"/>
    <s v="Safari"/>
    <x v="0"/>
    <n v="21"/>
    <n v="1"/>
    <n v="22.99"/>
    <s v="Mobile_User"/>
    <n v="1.0947619047619046"/>
    <x v="5"/>
    <x v="1"/>
  </r>
  <r>
    <n v="1500550722"/>
    <d v="2017-07-20T00:00:00"/>
    <s v="United States"/>
    <x v="10"/>
    <s v="Mobile"/>
    <s v="Chrome"/>
    <x v="0"/>
    <n v="31"/>
    <n v="1"/>
    <n v="23.1"/>
    <s v="Mobile_User"/>
    <n v="0.74516129032258072"/>
    <x v="4"/>
    <x v="1"/>
  </r>
  <r>
    <n v="1500240200"/>
    <d v="2017-07-16T00:00:00"/>
    <s v="United States"/>
    <x v="0"/>
    <s v="Mobile"/>
    <s v="Chrome"/>
    <x v="0"/>
    <n v="22"/>
    <n v="1"/>
    <n v="23.2"/>
    <s v="Mobile_User"/>
    <n v="1.0545454545454545"/>
    <x v="2"/>
    <x v="1"/>
  </r>
  <r>
    <n v="1470348830"/>
    <d v="2016-08-04T00:00:00"/>
    <s v="United States"/>
    <x v="0"/>
    <s v="Mobile"/>
    <s v="Chrome"/>
    <x v="1"/>
    <n v="27"/>
    <n v="1"/>
    <n v="23.47"/>
    <s v="Mobile_User"/>
    <n v="0.86925925925925918"/>
    <x v="4"/>
    <x v="1"/>
  </r>
  <r>
    <n v="1473618683"/>
    <d v="2016-09-11T00:00:00"/>
    <s v="United States"/>
    <x v="0"/>
    <s v="Mobile"/>
    <s v="Chrome"/>
    <x v="0"/>
    <n v="15"/>
    <n v="1"/>
    <n v="23.49"/>
    <s v="Mobile_User"/>
    <n v="1.5659999999999998"/>
    <x v="2"/>
    <x v="1"/>
  </r>
  <r>
    <n v="1493836069"/>
    <d v="2017-05-03T00:00:00"/>
    <s v="United States"/>
    <x v="0"/>
    <s v="Mobile"/>
    <s v="Safari"/>
    <x v="0"/>
    <n v="18"/>
    <n v="1"/>
    <n v="23.84"/>
    <s v="Mobile_User"/>
    <n v="1.3244444444444445"/>
    <x v="1"/>
    <x v="1"/>
  </r>
  <r>
    <n v="1496549658"/>
    <d v="2017-06-03T00:00:00"/>
    <s v="United States"/>
    <x v="0"/>
    <s v="Mobile"/>
    <s v="Chrome"/>
    <x v="0"/>
    <n v="12"/>
    <n v="1"/>
    <n v="23.94"/>
    <s v="Mobile_User"/>
    <n v="1.9950000000000001"/>
    <x v="5"/>
    <x v="1"/>
  </r>
  <r>
    <n v="1483059836"/>
    <d v="2016-12-29T00:00:00"/>
    <s v="Canada"/>
    <x v="0"/>
    <s v="Mobile"/>
    <s v="Safari"/>
    <x v="1"/>
    <n v="23"/>
    <n v="1"/>
    <n v="23.97"/>
    <s v="Mobile_User"/>
    <n v="1.0421739130434782"/>
    <x v="4"/>
    <x v="1"/>
  </r>
  <r>
    <n v="1500468898"/>
    <d v="2017-07-19T00:00:00"/>
    <s v="United States"/>
    <x v="32"/>
    <s v="Mobile"/>
    <s v="Chrome"/>
    <x v="0"/>
    <n v="26"/>
    <n v="1"/>
    <n v="23.99"/>
    <s v="Mobile_User"/>
    <n v="0.92269230769230759"/>
    <x v="1"/>
    <x v="1"/>
  </r>
  <r>
    <n v="1481122035"/>
    <d v="2016-12-07T00:00:00"/>
    <s v="United States"/>
    <x v="0"/>
    <s v="Mobile"/>
    <s v="Chrome"/>
    <x v="1"/>
    <n v="15"/>
    <n v="1"/>
    <n v="23.99"/>
    <s v="Mobile_User"/>
    <n v="1.5993333333333333"/>
    <x v="1"/>
    <x v="1"/>
  </r>
  <r>
    <n v="1478286092"/>
    <d v="2016-11-04T00:00:00"/>
    <s v="United States"/>
    <x v="22"/>
    <s v="Mobile"/>
    <s v="Chrome"/>
    <x v="1"/>
    <n v="20"/>
    <n v="1"/>
    <n v="23.99"/>
    <s v="Mobile_User"/>
    <n v="1.1995"/>
    <x v="0"/>
    <x v="1"/>
  </r>
  <r>
    <n v="1482015427"/>
    <d v="2016-12-17T00:00:00"/>
    <s v="United States"/>
    <x v="11"/>
    <s v="Mobile"/>
    <s v="Chrome"/>
    <x v="1"/>
    <n v="21"/>
    <n v="1"/>
    <n v="23.99"/>
    <s v="Mobile_User"/>
    <n v="1.1423809523809523"/>
    <x v="5"/>
    <x v="1"/>
  </r>
  <r>
    <n v="1499906980"/>
    <d v="2017-07-12T00:00:00"/>
    <s v="United States"/>
    <x v="25"/>
    <s v="Mobile"/>
    <s v="Chrome"/>
    <x v="0"/>
    <n v="52"/>
    <n v="1"/>
    <n v="24.07"/>
    <s v="Mobile_User"/>
    <n v="0.46288461538461539"/>
    <x v="1"/>
    <x v="1"/>
  </r>
  <r>
    <n v="1498756014"/>
    <d v="2017-06-29T00:00:00"/>
    <s v="United States"/>
    <x v="0"/>
    <s v="Mobile"/>
    <s v="Chrome"/>
    <x v="0"/>
    <n v="41"/>
    <n v="1"/>
    <n v="24.28"/>
    <s v="Mobile_User"/>
    <n v="0.59219512195121959"/>
    <x v="4"/>
    <x v="1"/>
  </r>
  <r>
    <n v="1501454901"/>
    <d v="2017-07-30T00:00:00"/>
    <s v="United States"/>
    <x v="0"/>
    <s v="Mobile"/>
    <s v="Chrome"/>
    <x v="0"/>
    <n v="34"/>
    <n v="1"/>
    <n v="24.29"/>
    <s v="Mobile_User"/>
    <n v="0.7144117647058823"/>
    <x v="2"/>
    <x v="1"/>
  </r>
  <r>
    <n v="1486054170"/>
    <d v="2017-02-02T00:00:00"/>
    <s v="United States"/>
    <x v="0"/>
    <s v="Mobile"/>
    <s v="Safari"/>
    <x v="1"/>
    <n v="20"/>
    <n v="1"/>
    <n v="24.48"/>
    <s v="Mobile_User"/>
    <n v="1.224"/>
    <x v="4"/>
    <x v="1"/>
  </r>
  <r>
    <n v="1496023530"/>
    <d v="2017-05-28T00:00:00"/>
    <s v="United States"/>
    <x v="0"/>
    <s v="Mobile"/>
    <s v="Chrome"/>
    <x v="1"/>
    <n v="32"/>
    <n v="1"/>
    <n v="24.49"/>
    <s v="Mobile_User"/>
    <n v="0.76531249999999995"/>
    <x v="2"/>
    <x v="1"/>
  </r>
  <r>
    <n v="1473544987"/>
    <d v="2016-09-10T00:00:00"/>
    <s v="United States"/>
    <x v="5"/>
    <s v="Mobile"/>
    <s v="Chrome"/>
    <x v="1"/>
    <n v="43"/>
    <n v="1"/>
    <n v="24.55"/>
    <s v="Mobile_User"/>
    <n v="0.57093023255813957"/>
    <x v="5"/>
    <x v="1"/>
  </r>
  <r>
    <n v="1493658113"/>
    <d v="2017-05-01T00:00:00"/>
    <s v="United States"/>
    <x v="0"/>
    <s v="Mobile"/>
    <s v="Chrome"/>
    <x v="0"/>
    <n v="20"/>
    <n v="1"/>
    <n v="24.57"/>
    <s v="Mobile_User"/>
    <n v="1.2284999999999999"/>
    <x v="3"/>
    <x v="1"/>
  </r>
  <r>
    <n v="1470840032"/>
    <d v="2016-08-10T00:00:00"/>
    <s v="United States"/>
    <x v="33"/>
    <s v="Mobile"/>
    <s v="Chrome"/>
    <x v="1"/>
    <n v="10"/>
    <n v="1"/>
    <n v="24.68"/>
    <s v="Mobile_User"/>
    <n v="2.468"/>
    <x v="1"/>
    <x v="1"/>
  </r>
  <r>
    <n v="1470860124"/>
    <d v="2016-08-10T00:00:00"/>
    <s v="United States"/>
    <x v="0"/>
    <s v="Mobile"/>
    <s v="Safari"/>
    <x v="0"/>
    <n v="12"/>
    <n v="1"/>
    <n v="24.76"/>
    <s v="Mobile_User"/>
    <n v="2.0633333333333335"/>
    <x v="1"/>
    <x v="1"/>
  </r>
  <r>
    <n v="1494716739"/>
    <d v="2017-05-13T00:00:00"/>
    <s v="United States"/>
    <x v="4"/>
    <s v="Mobile"/>
    <s v="Safari"/>
    <x v="0"/>
    <n v="60"/>
    <n v="1"/>
    <n v="24.93"/>
    <s v="Mobile_User"/>
    <n v="0.41549999999999998"/>
    <x v="5"/>
    <x v="1"/>
  </r>
  <r>
    <n v="1500376439"/>
    <d v="2017-07-18T00:00:00"/>
    <s v="United States"/>
    <x v="32"/>
    <s v="Mobile"/>
    <s v="Chrome"/>
    <x v="0"/>
    <n v="21"/>
    <n v="1"/>
    <n v="24.95"/>
    <s v="Mobile_User"/>
    <n v="1.1880952380952381"/>
    <x v="6"/>
    <x v="1"/>
  </r>
  <r>
    <n v="1496775994"/>
    <d v="2017-06-06T00:00:00"/>
    <s v="United States"/>
    <x v="0"/>
    <s v="Mobile"/>
    <s v="Chrome"/>
    <x v="1"/>
    <n v="30"/>
    <n v="1"/>
    <n v="24.97"/>
    <s v="Mobile_User"/>
    <n v="0.83233333333333326"/>
    <x v="6"/>
    <x v="1"/>
  </r>
  <r>
    <n v="1487271998"/>
    <d v="2017-02-16T00:00:00"/>
    <s v="United States"/>
    <x v="0"/>
    <s v="Mobile"/>
    <s v="Chrome"/>
    <x v="0"/>
    <n v="15"/>
    <n v="1"/>
    <n v="24.99"/>
    <s v="Mobile_User"/>
    <n v="1.6659999999999999"/>
    <x v="4"/>
    <x v="1"/>
  </r>
  <r>
    <n v="1486489846"/>
    <d v="2017-02-07T00:00:00"/>
    <s v="United States"/>
    <x v="0"/>
    <s v="Mobile"/>
    <s v="Chrome"/>
    <x v="1"/>
    <n v="13"/>
    <n v="1"/>
    <n v="24.99"/>
    <s v="Mobile_User"/>
    <n v="1.9223076923076923"/>
    <x v="6"/>
    <x v="1"/>
  </r>
  <r>
    <n v="1473097473"/>
    <d v="2016-09-05T00:00:00"/>
    <s v="United States"/>
    <x v="4"/>
    <s v="Mobile"/>
    <s v="Chrome"/>
    <x v="1"/>
    <n v="20"/>
    <n v="1"/>
    <n v="24.99"/>
    <s v="Mobile_User"/>
    <n v="1.2494999999999998"/>
    <x v="3"/>
    <x v="1"/>
  </r>
  <r>
    <n v="1479538074"/>
    <d v="2016-11-18T00:00:00"/>
    <s v="United States"/>
    <x v="0"/>
    <s v="Mobile"/>
    <s v="Chrome"/>
    <x v="1"/>
    <n v="20"/>
    <n v="1"/>
    <n v="24.99"/>
    <s v="Mobile_User"/>
    <n v="1.2494999999999998"/>
    <x v="0"/>
    <x v="1"/>
  </r>
  <r>
    <n v="1484209633"/>
    <d v="2017-01-12T00:00:00"/>
    <s v="United States"/>
    <x v="0"/>
    <s v="Mobile"/>
    <s v="Chrome"/>
    <x v="1"/>
    <n v="36"/>
    <n v="1"/>
    <n v="24.99"/>
    <s v="Mobile_User"/>
    <n v="0.6941666666666666"/>
    <x v="4"/>
    <x v="1"/>
  </r>
  <r>
    <n v="1475636271"/>
    <d v="2016-10-04T00:00:00"/>
    <s v="United States"/>
    <x v="15"/>
    <s v="Mobile"/>
    <s v="Internet Explorer"/>
    <x v="1"/>
    <n v="17"/>
    <n v="1"/>
    <n v="24.99"/>
    <s v="Mobile_User"/>
    <n v="1.47"/>
    <x v="6"/>
    <x v="1"/>
  </r>
  <r>
    <n v="1481662348"/>
    <d v="2016-12-13T00:00:00"/>
    <s v="United States"/>
    <x v="0"/>
    <s v="Mobile"/>
    <s v="Chrome"/>
    <x v="1"/>
    <n v="22"/>
    <n v="1"/>
    <n v="24.99"/>
    <s v="Mobile_User"/>
    <n v="1.1359090909090908"/>
    <x v="6"/>
    <x v="1"/>
  </r>
  <r>
    <n v="1488909054"/>
    <d v="2017-03-07T00:00:00"/>
    <s v="United States"/>
    <x v="0"/>
    <s v="Mobile"/>
    <s v="Chrome"/>
    <x v="0"/>
    <n v="16"/>
    <n v="1"/>
    <n v="24.99"/>
    <s v="Mobile_User"/>
    <n v="1.5618749999999999"/>
    <x v="6"/>
    <x v="1"/>
  </r>
  <r>
    <n v="1492441565"/>
    <d v="2017-04-17T00:00:00"/>
    <s v="United States"/>
    <x v="0"/>
    <s v="Mobile"/>
    <s v="Safari"/>
    <x v="1"/>
    <n v="16"/>
    <n v="1"/>
    <n v="24.99"/>
    <s v="Mobile_User"/>
    <n v="1.5618749999999999"/>
    <x v="3"/>
    <x v="1"/>
  </r>
  <r>
    <n v="1480565270"/>
    <d v="2016-11-30T00:00:00"/>
    <s v="United States"/>
    <x v="34"/>
    <s v="Mobile"/>
    <s v="Safari"/>
    <x v="1"/>
    <n v="16"/>
    <n v="1"/>
    <n v="24.99"/>
    <s v="Mobile_User"/>
    <n v="1.5618749999999999"/>
    <x v="1"/>
    <x v="1"/>
  </r>
  <r>
    <n v="1481835393"/>
    <d v="2016-12-15T00:00:00"/>
    <s v="United States"/>
    <x v="10"/>
    <s v="Mobile"/>
    <s v="Chrome"/>
    <x v="1"/>
    <n v="15"/>
    <n v="1"/>
    <n v="24.99"/>
    <s v="Mobile_User"/>
    <n v="1.6659999999999999"/>
    <x v="4"/>
    <x v="1"/>
  </r>
  <r>
    <n v="1474244482"/>
    <d v="2016-09-18T00:00:00"/>
    <s v="United States"/>
    <x v="0"/>
    <s v="Mobile"/>
    <s v="Chrome"/>
    <x v="0"/>
    <n v="19"/>
    <n v="1"/>
    <n v="24.99"/>
    <s v="Mobile_User"/>
    <n v="1.3152631578947367"/>
    <x v="2"/>
    <x v="1"/>
  </r>
  <r>
    <n v="1501167890"/>
    <d v="2017-07-27T00:00:00"/>
    <s v="United States"/>
    <x v="0"/>
    <s v="Mobile"/>
    <s v="Chrome"/>
    <x v="0"/>
    <n v="13"/>
    <n v="1"/>
    <n v="24.99"/>
    <s v="Mobile_User"/>
    <n v="1.9223076923076923"/>
    <x v="4"/>
    <x v="1"/>
  </r>
  <r>
    <n v="1471884982"/>
    <d v="2016-08-22T00:00:00"/>
    <s v="United States"/>
    <x v="1"/>
    <s v="Mobile"/>
    <s v="Safari"/>
    <x v="0"/>
    <n v="18"/>
    <n v="1"/>
    <n v="25"/>
    <s v="Mobile_User"/>
    <n v="1.3888888888888888"/>
    <x v="3"/>
    <x v="1"/>
  </r>
  <r>
    <n v="1474664379"/>
    <d v="2016-09-23T00:00:00"/>
    <s v="United States"/>
    <x v="2"/>
    <s v="Mobile"/>
    <s v="Chrome"/>
    <x v="1"/>
    <n v="21"/>
    <n v="1"/>
    <n v="25"/>
    <s v="Mobile_User"/>
    <n v="1.1904761904761905"/>
    <x v="0"/>
    <x v="1"/>
  </r>
  <r>
    <n v="1493253322"/>
    <d v="2017-04-26T00:00:00"/>
    <s v="United States"/>
    <x v="0"/>
    <s v="Mobile"/>
    <s v="Chrome"/>
    <x v="0"/>
    <n v="33"/>
    <n v="1"/>
    <n v="25.04"/>
    <s v="Mobile_User"/>
    <n v="0.75878787878787879"/>
    <x v="1"/>
    <x v="1"/>
  </r>
  <r>
    <n v="1473350320"/>
    <d v="2016-09-08T00:00:00"/>
    <s v="United States"/>
    <x v="15"/>
    <s v="Mobile"/>
    <s v="Chrome"/>
    <x v="0"/>
    <n v="31"/>
    <n v="1"/>
    <n v="25.18"/>
    <s v="Mobile_User"/>
    <n v="0.81225806451612903"/>
    <x v="4"/>
    <x v="1"/>
  </r>
  <r>
    <n v="1478774631"/>
    <d v="2016-11-10T00:00:00"/>
    <s v="United States"/>
    <x v="0"/>
    <s v="Mobile"/>
    <s v="Safari"/>
    <x v="1"/>
    <n v="8"/>
    <n v="1"/>
    <n v="25.18"/>
    <s v="Mobile_User"/>
    <n v="3.1475"/>
    <x v="4"/>
    <x v="1"/>
  </r>
  <r>
    <n v="1500973527"/>
    <d v="2017-07-25T00:00:00"/>
    <s v="United States"/>
    <x v="0"/>
    <s v="Mobile"/>
    <s v="Chrome"/>
    <x v="0"/>
    <n v="38"/>
    <n v="1"/>
    <n v="25.27"/>
    <s v="Mobile_User"/>
    <n v="0.66500000000000004"/>
    <x v="6"/>
    <x v="1"/>
  </r>
  <r>
    <n v="1471859916"/>
    <d v="2016-08-22T00:00:00"/>
    <s v="Japan"/>
    <x v="0"/>
    <s v="Mobile"/>
    <s v="Safari"/>
    <x v="0"/>
    <n v="39"/>
    <n v="1"/>
    <n v="25.49"/>
    <s v="Mobile_User"/>
    <n v="0.65358974358974353"/>
    <x v="3"/>
    <x v="1"/>
  </r>
  <r>
    <n v="1470597090"/>
    <d v="2016-08-07T00:00:00"/>
    <s v="United States"/>
    <x v="15"/>
    <s v="Mobile"/>
    <s v="Safari"/>
    <x v="0"/>
    <n v="20"/>
    <n v="1"/>
    <n v="25.49"/>
    <s v="Mobile_User"/>
    <n v="1.2745"/>
    <x v="2"/>
    <x v="1"/>
  </r>
  <r>
    <n v="1499816891"/>
    <d v="2017-07-11T00:00:00"/>
    <s v="United States"/>
    <x v="0"/>
    <s v="Mobile"/>
    <s v="Chrome"/>
    <x v="0"/>
    <n v="16"/>
    <n v="1"/>
    <n v="25.89"/>
    <s v="Mobile_User"/>
    <n v="1.618125"/>
    <x v="6"/>
    <x v="1"/>
  </r>
  <r>
    <n v="1480965033"/>
    <d v="2016-12-05T00:00:00"/>
    <s v="United States"/>
    <x v="0"/>
    <s v="Mobile"/>
    <s v="Safari"/>
    <x v="1"/>
    <n v="37"/>
    <n v="1"/>
    <n v="25.96"/>
    <s v="Mobile_User"/>
    <n v="0.70162162162162167"/>
    <x v="3"/>
    <x v="1"/>
  </r>
  <r>
    <n v="1492988427"/>
    <d v="2017-04-23T00:00:00"/>
    <s v="United States"/>
    <x v="0"/>
    <s v="Mobile"/>
    <s v="Safari"/>
    <x v="0"/>
    <n v="39"/>
    <n v="1"/>
    <n v="25.97"/>
    <s v="Mobile_User"/>
    <n v="0.66589743589743589"/>
    <x v="2"/>
    <x v="1"/>
  </r>
  <r>
    <n v="1496705835"/>
    <d v="2017-06-05T00:00:00"/>
    <s v="United States"/>
    <x v="0"/>
    <s v="Mobile"/>
    <s v="Safari"/>
    <x v="0"/>
    <n v="27"/>
    <n v="1"/>
    <n v="25.98"/>
    <s v="Mobile_User"/>
    <n v="0.9622222222222222"/>
    <x v="3"/>
    <x v="1"/>
  </r>
  <r>
    <n v="1493117005"/>
    <d v="2017-04-25T00:00:00"/>
    <s v="United States"/>
    <x v="0"/>
    <s v="Mobile"/>
    <s v="Safari"/>
    <x v="0"/>
    <n v="10"/>
    <n v="1"/>
    <n v="25.98"/>
    <s v="Mobile_User"/>
    <n v="2.5979999999999999"/>
    <x v="6"/>
    <x v="1"/>
  </r>
  <r>
    <n v="1493432171"/>
    <d v="2017-04-28T00:00:00"/>
    <s v="United States"/>
    <x v="2"/>
    <s v="Mobile"/>
    <s v="Chrome"/>
    <x v="1"/>
    <n v="31"/>
    <n v="1"/>
    <n v="25.99"/>
    <s v="Mobile_User"/>
    <n v="0.83838709677419354"/>
    <x v="0"/>
    <x v="1"/>
  </r>
  <r>
    <n v="1493779817"/>
    <d v="2017-05-02T00:00:00"/>
    <s v="United States"/>
    <x v="0"/>
    <s v="Mobile"/>
    <s v="Chrome"/>
    <x v="0"/>
    <n v="22"/>
    <n v="1"/>
    <n v="26.38"/>
    <s v="Mobile_User"/>
    <n v="1.199090909090909"/>
    <x v="6"/>
    <x v="1"/>
  </r>
  <r>
    <n v="1470907977"/>
    <d v="2016-08-11T00:00:00"/>
    <s v="United States"/>
    <x v="0"/>
    <s v="Mobile"/>
    <s v="Safari"/>
    <x v="0"/>
    <n v="35"/>
    <n v="1"/>
    <n v="26.4"/>
    <s v="Mobile_User"/>
    <n v="0.75428571428571423"/>
    <x v="4"/>
    <x v="1"/>
  </r>
  <r>
    <n v="1483636063"/>
    <d v="2017-01-05T00:00:00"/>
    <s v="United States"/>
    <x v="4"/>
    <s v="Mobile"/>
    <s v="Safari"/>
    <x v="1"/>
    <n v="29"/>
    <n v="1"/>
    <n v="26.47"/>
    <s v="Mobile_User"/>
    <n v="0.91275862068965519"/>
    <x v="4"/>
    <x v="1"/>
  </r>
  <r>
    <n v="1498594507"/>
    <d v="2017-06-27T00:00:00"/>
    <s v="Greece"/>
    <x v="35"/>
    <s v="Mobile"/>
    <s v="Safari"/>
    <x v="0"/>
    <n v="17"/>
    <n v="1"/>
    <n v="26.58"/>
    <s v="Mobile_User"/>
    <n v="1.5635294117647058"/>
    <x v="6"/>
    <x v="1"/>
  </r>
  <r>
    <n v="1472013394"/>
    <d v="2016-08-23T00:00:00"/>
    <s v="United States"/>
    <x v="4"/>
    <s v="Mobile"/>
    <s v="Chrome"/>
    <x v="0"/>
    <n v="13"/>
    <n v="1"/>
    <n v="26.82"/>
    <s v="Mobile_User"/>
    <n v="2.063076923076923"/>
    <x v="6"/>
    <x v="1"/>
  </r>
  <r>
    <n v="1472604143"/>
    <d v="2016-08-30T00:00:00"/>
    <s v="United States"/>
    <x v="4"/>
    <s v="Mobile"/>
    <s v="Chrome"/>
    <x v="0"/>
    <n v="13"/>
    <n v="1"/>
    <n v="26.89"/>
    <s v="Mobile_User"/>
    <n v="2.0684615384615386"/>
    <x v="6"/>
    <x v="1"/>
  </r>
  <r>
    <n v="1481767892"/>
    <d v="2016-12-14T00:00:00"/>
    <s v="Canada"/>
    <x v="36"/>
    <s v="Mobile"/>
    <s v="Safari"/>
    <x v="1"/>
    <n v="16"/>
    <n v="1"/>
    <n v="26.98"/>
    <s v="Mobile_User"/>
    <n v="1.68625"/>
    <x v="1"/>
    <x v="1"/>
  </r>
  <r>
    <n v="1475975939"/>
    <d v="2016-10-08T00:00:00"/>
    <s v="United States"/>
    <x v="0"/>
    <s v="Mobile"/>
    <s v="Chrome"/>
    <x v="1"/>
    <n v="24"/>
    <n v="1"/>
    <n v="26.98"/>
    <s v="Mobile_User"/>
    <n v="1.1241666666666668"/>
    <x v="5"/>
    <x v="1"/>
  </r>
  <r>
    <n v="1491782620"/>
    <d v="2017-04-09T00:00:00"/>
    <s v="United States"/>
    <x v="0"/>
    <s v="Mobile"/>
    <s v="Chrome"/>
    <x v="0"/>
    <n v="22"/>
    <n v="1"/>
    <n v="26.98"/>
    <s v="Mobile_User"/>
    <n v="1.2263636363636363"/>
    <x v="2"/>
    <x v="1"/>
  </r>
  <r>
    <n v="1474067906"/>
    <d v="2016-09-16T00:00:00"/>
    <s v="United States"/>
    <x v="0"/>
    <s v="Mobile"/>
    <s v="Chrome"/>
    <x v="0"/>
    <n v="20"/>
    <n v="1"/>
    <n v="27.19"/>
    <s v="Mobile_User"/>
    <n v="1.3595000000000002"/>
    <x v="0"/>
    <x v="1"/>
  </r>
  <r>
    <n v="1471611819"/>
    <d v="2016-08-19T00:00:00"/>
    <s v="United States"/>
    <x v="0"/>
    <s v="Mobile"/>
    <s v="Safari"/>
    <x v="0"/>
    <n v="12"/>
    <n v="1"/>
    <n v="27.43"/>
    <s v="Mobile_User"/>
    <n v="2.2858333333333332"/>
    <x v="0"/>
    <x v="1"/>
  </r>
  <r>
    <n v="1501480779"/>
    <d v="2017-07-30T00:00:00"/>
    <s v="United States"/>
    <x v="0"/>
    <s v="Mobile"/>
    <s v="Safari"/>
    <x v="0"/>
    <n v="23"/>
    <n v="1"/>
    <n v="27.6"/>
    <s v="Mobile_User"/>
    <n v="1.2"/>
    <x v="2"/>
    <x v="1"/>
  </r>
  <r>
    <n v="1491507275"/>
    <d v="2017-04-06T00:00:00"/>
    <s v="United States"/>
    <x v="0"/>
    <s v="Mobile"/>
    <s v="Safari"/>
    <x v="0"/>
    <n v="19"/>
    <n v="1"/>
    <n v="27.96"/>
    <s v="Mobile_User"/>
    <n v="1.4715789473684211"/>
    <x v="4"/>
    <x v="1"/>
  </r>
  <r>
    <n v="1481681322"/>
    <d v="2016-12-13T00:00:00"/>
    <s v="United States"/>
    <x v="0"/>
    <s v="Mobile"/>
    <s v="Internet Explorer"/>
    <x v="1"/>
    <n v="15"/>
    <n v="1"/>
    <n v="27.98"/>
    <s v="Mobile_User"/>
    <n v="1.8653333333333333"/>
    <x v="6"/>
    <x v="1"/>
  </r>
  <r>
    <n v="1484008342"/>
    <d v="2017-01-09T00:00:00"/>
    <s v="United States"/>
    <x v="0"/>
    <s v="Mobile"/>
    <s v="Chrome"/>
    <x v="1"/>
    <n v="30"/>
    <n v="1"/>
    <n v="27.98"/>
    <s v="Mobile_User"/>
    <n v="0.93266666666666664"/>
    <x v="3"/>
    <x v="1"/>
  </r>
  <r>
    <n v="1482161849"/>
    <d v="2016-12-19T00:00:00"/>
    <s v="United States"/>
    <x v="29"/>
    <s v="Mobile"/>
    <s v="Chrome"/>
    <x v="1"/>
    <n v="68"/>
    <n v="1"/>
    <n v="27.98"/>
    <s v="Mobile_User"/>
    <n v="0.41147058823529414"/>
    <x v="3"/>
    <x v="1"/>
  </r>
  <r>
    <n v="1488366849"/>
    <d v="2017-03-01T00:00:00"/>
    <s v="United States"/>
    <x v="0"/>
    <s v="Mobile"/>
    <s v="Chrome"/>
    <x v="0"/>
    <n v="29"/>
    <n v="1"/>
    <n v="27.98"/>
    <s v="Mobile_User"/>
    <n v="0.96482758620689657"/>
    <x v="1"/>
    <x v="1"/>
  </r>
  <r>
    <n v="1480720381"/>
    <d v="2016-12-02T00:00:00"/>
    <s v="United States"/>
    <x v="4"/>
    <s v="Mobile"/>
    <s v="Safari"/>
    <x v="1"/>
    <n v="38"/>
    <n v="1"/>
    <n v="27.98"/>
    <s v="Mobile_User"/>
    <n v="0.73631578947368426"/>
    <x v="0"/>
    <x v="1"/>
  </r>
  <r>
    <n v="1491546666"/>
    <d v="2017-04-06T00:00:00"/>
    <s v="United States"/>
    <x v="3"/>
    <s v="Mobile"/>
    <s v="Chrome"/>
    <x v="0"/>
    <n v="16"/>
    <n v="1"/>
    <n v="27.98"/>
    <s v="Mobile_User"/>
    <n v="1.74875"/>
    <x v="4"/>
    <x v="1"/>
  </r>
  <r>
    <n v="1488734738"/>
    <d v="2017-03-05T00:00:00"/>
    <s v="Canada"/>
    <x v="0"/>
    <s v="Mobile"/>
    <s v="Safari"/>
    <x v="0"/>
    <n v="21"/>
    <n v="1"/>
    <n v="27.98"/>
    <s v="Mobile_User"/>
    <n v="1.3323809523809524"/>
    <x v="2"/>
    <x v="1"/>
  </r>
  <r>
    <n v="1493916581"/>
    <d v="2017-05-04T00:00:00"/>
    <s v="United States"/>
    <x v="37"/>
    <s v="Mobile"/>
    <s v="Chrome"/>
    <x v="1"/>
    <n v="24"/>
    <n v="1"/>
    <n v="27.98"/>
    <s v="Mobile_User"/>
    <n v="1.1658333333333333"/>
    <x v="4"/>
    <x v="1"/>
  </r>
  <r>
    <n v="1487262799"/>
    <d v="2017-02-16T00:00:00"/>
    <s v="United States"/>
    <x v="2"/>
    <s v="Mobile"/>
    <s v="Chrome"/>
    <x v="0"/>
    <n v="31"/>
    <n v="1"/>
    <n v="27.98"/>
    <s v="Mobile_User"/>
    <n v="0.90258064516129033"/>
    <x v="4"/>
    <x v="1"/>
  </r>
  <r>
    <n v="1491277899"/>
    <d v="2017-04-03T00:00:00"/>
    <s v="United States"/>
    <x v="0"/>
    <s v="Mobile"/>
    <s v="Chrome"/>
    <x v="0"/>
    <n v="19"/>
    <n v="1"/>
    <n v="28.37"/>
    <s v="Mobile_User"/>
    <n v="1.4931578947368422"/>
    <x v="3"/>
    <x v="1"/>
  </r>
  <r>
    <n v="1472747228"/>
    <d v="2016-09-01T00:00:00"/>
    <s v="United States"/>
    <x v="0"/>
    <s v="Mobile"/>
    <s v="Chrome"/>
    <x v="0"/>
    <n v="23"/>
    <n v="1"/>
    <n v="28.48"/>
    <s v="Mobile_User"/>
    <n v="1.2382608695652173"/>
    <x v="4"/>
    <x v="1"/>
  </r>
  <r>
    <n v="1498353417"/>
    <d v="2017-06-24T00:00:00"/>
    <s v="United States"/>
    <x v="0"/>
    <s v="Mobile"/>
    <s v="Internet Explorer"/>
    <x v="1"/>
    <n v="25"/>
    <n v="1"/>
    <n v="28.88"/>
    <s v="Mobile_User"/>
    <n v="1.1552"/>
    <x v="5"/>
    <x v="1"/>
  </r>
  <r>
    <n v="1475706649"/>
    <d v="2016-10-05T00:00:00"/>
    <s v="Australia"/>
    <x v="38"/>
    <s v="Mobile"/>
    <s v="Chrome"/>
    <x v="1"/>
    <n v="33"/>
    <n v="1"/>
    <n v="28.93"/>
    <s v="Mobile_User"/>
    <n v="0.87666666666666671"/>
    <x v="1"/>
    <x v="1"/>
  </r>
  <r>
    <n v="1470999005"/>
    <d v="2016-08-12T00:00:00"/>
    <s v="United States"/>
    <x v="0"/>
    <s v="Mobile"/>
    <s v="Chrome"/>
    <x v="0"/>
    <n v="24"/>
    <n v="1"/>
    <n v="28.95"/>
    <s v="Mobile_User"/>
    <n v="1.20625"/>
    <x v="0"/>
    <x v="1"/>
  </r>
  <r>
    <n v="1497446733"/>
    <d v="2017-06-14T00:00:00"/>
    <s v="United States"/>
    <x v="0"/>
    <s v="Mobile"/>
    <s v="Chrome"/>
    <x v="0"/>
    <n v="50"/>
    <n v="1"/>
    <n v="28.96"/>
    <s v="Mobile_User"/>
    <n v="0.57920000000000005"/>
    <x v="1"/>
    <x v="1"/>
  </r>
  <r>
    <n v="1477437983"/>
    <d v="2016-10-25T00:00:00"/>
    <s v="United States"/>
    <x v="39"/>
    <s v="Mobile"/>
    <s v="Safari"/>
    <x v="1"/>
    <n v="27"/>
    <n v="1"/>
    <n v="28.97"/>
    <s v="Mobile_User"/>
    <n v="1.0729629629629629"/>
    <x v="6"/>
    <x v="1"/>
  </r>
  <r>
    <n v="1486231286"/>
    <d v="2017-02-04T00:00:00"/>
    <s v="United States"/>
    <x v="0"/>
    <s v="Mobile"/>
    <s v="Safari"/>
    <x v="1"/>
    <n v="31"/>
    <n v="1"/>
    <n v="28.97"/>
    <s v="Mobile_User"/>
    <n v="0.934516129032258"/>
    <x v="5"/>
    <x v="1"/>
  </r>
  <r>
    <n v="1490748553"/>
    <d v="2017-03-28T00:00:00"/>
    <s v="United States"/>
    <x v="19"/>
    <s v="Mobile"/>
    <s v="Safari"/>
    <x v="0"/>
    <n v="13"/>
    <n v="1"/>
    <n v="28.98"/>
    <s v="Mobile_User"/>
    <n v="2.2292307692307691"/>
    <x v="6"/>
    <x v="1"/>
  </r>
  <r>
    <n v="1485883654"/>
    <d v="2017-01-31T00:00:00"/>
    <s v="United States"/>
    <x v="0"/>
    <s v="Mobile"/>
    <s v="Chrome"/>
    <x v="1"/>
    <n v="22"/>
    <n v="1"/>
    <n v="28.98"/>
    <s v="Mobile_User"/>
    <n v="1.3172727272727274"/>
    <x v="6"/>
    <x v="1"/>
  </r>
  <r>
    <n v="1485313789"/>
    <d v="2017-01-24T00:00:00"/>
    <s v="United States"/>
    <x v="23"/>
    <s v="Mobile"/>
    <s v="Safari"/>
    <x v="1"/>
    <n v="23"/>
    <n v="1"/>
    <n v="28.98"/>
    <s v="Mobile_User"/>
    <n v="1.26"/>
    <x v="6"/>
    <x v="1"/>
  </r>
  <r>
    <n v="1471552163"/>
    <d v="2016-08-18T00:00:00"/>
    <s v="United States"/>
    <x v="11"/>
    <s v="Mobile"/>
    <s v="Safari"/>
    <x v="0"/>
    <n v="29"/>
    <n v="1"/>
    <n v="29.45"/>
    <s v="Mobile_User"/>
    <n v="1.0155172413793103"/>
    <x v="4"/>
    <x v="1"/>
  </r>
  <r>
    <n v="1489709216"/>
    <d v="2017-03-16T00:00:00"/>
    <s v="United States"/>
    <x v="0"/>
    <s v="Mobile"/>
    <s v="Chrome"/>
    <x v="1"/>
    <n v="21"/>
    <n v="1"/>
    <n v="29.49"/>
    <s v="Mobile_User"/>
    <n v="1.4042857142857141"/>
    <x v="4"/>
    <x v="1"/>
  </r>
  <r>
    <n v="1478289196"/>
    <d v="2016-11-04T00:00:00"/>
    <s v="United States"/>
    <x v="1"/>
    <s v="Mobile"/>
    <s v="Safari"/>
    <x v="1"/>
    <n v="17"/>
    <n v="1"/>
    <n v="29.7"/>
    <s v="Mobile_User"/>
    <n v="1.7470588235294118"/>
    <x v="0"/>
    <x v="1"/>
  </r>
  <r>
    <n v="1500171165"/>
    <d v="2017-07-15T00:00:00"/>
    <s v="United States"/>
    <x v="1"/>
    <s v="Mobile"/>
    <s v="Safari"/>
    <x v="1"/>
    <n v="16"/>
    <n v="1"/>
    <n v="29.94"/>
    <s v="Mobile_User"/>
    <n v="1.8712500000000001"/>
    <x v="5"/>
    <x v="1"/>
  </r>
  <r>
    <n v="1497220493"/>
    <d v="2017-06-11T00:00:00"/>
    <s v="United States"/>
    <x v="0"/>
    <s v="Mobile"/>
    <s v="Chrome"/>
    <x v="1"/>
    <n v="15"/>
    <n v="1"/>
    <n v="29.96"/>
    <s v="Mobile_User"/>
    <n v="1.9973333333333334"/>
    <x v="2"/>
    <x v="1"/>
  </r>
  <r>
    <n v="1494792020"/>
    <d v="2017-05-14T00:00:00"/>
    <s v="United States"/>
    <x v="0"/>
    <s v="Mobile"/>
    <s v="Chrome"/>
    <x v="0"/>
    <n v="18"/>
    <n v="1"/>
    <n v="29.97"/>
    <s v="Mobile_User"/>
    <n v="1.665"/>
    <x v="2"/>
    <x v="1"/>
  </r>
  <r>
    <n v="1478232588"/>
    <d v="2016-11-03T00:00:00"/>
    <s v="United States"/>
    <x v="0"/>
    <s v="Mobile"/>
    <s v="Safari"/>
    <x v="1"/>
    <n v="37"/>
    <n v="1"/>
    <n v="29.98"/>
    <s v="Mobile_User"/>
    <n v="0.81027027027027032"/>
    <x v="4"/>
    <x v="1"/>
  </r>
  <r>
    <n v="1489871818"/>
    <d v="2017-03-18T00:00:00"/>
    <s v="United States"/>
    <x v="0"/>
    <s v="Mobile"/>
    <s v="Chrome"/>
    <x v="1"/>
    <n v="14"/>
    <n v="1"/>
    <n v="29.98"/>
    <s v="Mobile_User"/>
    <n v="2.1414285714285715"/>
    <x v="5"/>
    <x v="1"/>
  </r>
  <r>
    <n v="1487843143"/>
    <d v="2017-02-23T00:00:00"/>
    <s v="United States"/>
    <x v="8"/>
    <s v="Mobile"/>
    <s v="Chrome"/>
    <x v="0"/>
    <n v="25"/>
    <n v="1"/>
    <n v="29.98"/>
    <s v="Mobile_User"/>
    <n v="1.1992"/>
    <x v="4"/>
    <x v="1"/>
  </r>
  <r>
    <n v="1475517981"/>
    <d v="2016-10-03T00:00:00"/>
    <s v="United States"/>
    <x v="0"/>
    <s v="Mobile"/>
    <s v="Safari"/>
    <x v="1"/>
    <n v="10"/>
    <n v="1"/>
    <n v="29.99"/>
    <s v="Mobile_User"/>
    <n v="2.9989999999999997"/>
    <x v="3"/>
    <x v="1"/>
  </r>
  <r>
    <n v="1473716984"/>
    <d v="2016-09-12T00:00:00"/>
    <s v="United States"/>
    <x v="0"/>
    <s v="Mobile"/>
    <s v="Chrome"/>
    <x v="0"/>
    <n v="30"/>
    <n v="1"/>
    <n v="30.02"/>
    <s v="Mobile_User"/>
    <n v="1.0006666666666666"/>
    <x v="3"/>
    <x v="1"/>
  </r>
  <r>
    <n v="1500227828"/>
    <d v="2017-07-16T00:00:00"/>
    <s v="United States"/>
    <x v="18"/>
    <s v="Mobile"/>
    <s v="Chrome"/>
    <x v="0"/>
    <n v="25"/>
    <n v="1"/>
    <n v="30.28"/>
    <s v="Mobile_User"/>
    <n v="1.2112000000000001"/>
    <x v="2"/>
    <x v="1"/>
  </r>
  <r>
    <n v="1501566744"/>
    <d v="2017-07-31T00:00:00"/>
    <s v="United States"/>
    <x v="0"/>
    <s v="Mobile"/>
    <s v="Chrome"/>
    <x v="0"/>
    <n v="40"/>
    <n v="1"/>
    <n v="30.28"/>
    <s v="Mobile_User"/>
    <n v="0.75700000000000001"/>
    <x v="3"/>
    <x v="1"/>
  </r>
  <r>
    <n v="1496083358"/>
    <d v="2017-05-29T00:00:00"/>
    <s v="United States"/>
    <x v="0"/>
    <s v="Mobile"/>
    <s v="Safari"/>
    <x v="1"/>
    <n v="17"/>
    <n v="1"/>
    <n v="30.79"/>
    <s v="Mobile_User"/>
    <n v="1.8111764705882352"/>
    <x v="3"/>
    <x v="1"/>
  </r>
  <r>
    <n v="1487540732"/>
    <d v="2017-02-19T00:00:00"/>
    <s v="Canada"/>
    <x v="0"/>
    <s v="Mobile"/>
    <s v="Safari"/>
    <x v="1"/>
    <n v="39"/>
    <n v="1"/>
    <n v="30.95"/>
    <s v="Mobile_User"/>
    <n v="0.79358974358974355"/>
    <x v="2"/>
    <x v="1"/>
  </r>
  <r>
    <n v="1486500585"/>
    <d v="2017-02-07T00:00:00"/>
    <s v="United States"/>
    <x v="0"/>
    <s v="Mobile"/>
    <s v="Internet Explorer"/>
    <x v="1"/>
    <n v="18"/>
    <n v="1"/>
    <n v="30.95"/>
    <s v="Mobile_User"/>
    <n v="1.7194444444444443"/>
    <x v="6"/>
    <x v="1"/>
  </r>
  <r>
    <n v="1477941193"/>
    <d v="2016-10-31T00:00:00"/>
    <s v="United States"/>
    <x v="0"/>
    <s v="Mobile"/>
    <s v="Chrome"/>
    <x v="0"/>
    <n v="77"/>
    <n v="1"/>
    <n v="31.47"/>
    <s v="Mobile_User"/>
    <n v="0.40870129870129868"/>
    <x v="3"/>
    <x v="1"/>
  </r>
  <r>
    <n v="1499012816"/>
    <d v="2017-07-02T00:00:00"/>
    <s v="United States"/>
    <x v="15"/>
    <s v="Mobile"/>
    <s v="Chrome"/>
    <x v="0"/>
    <n v="22"/>
    <n v="1"/>
    <n v="31.48"/>
    <s v="Mobile_User"/>
    <n v="1.4309090909090909"/>
    <x v="2"/>
    <x v="1"/>
  </r>
  <r>
    <n v="1473383947"/>
    <d v="2016-09-08T00:00:00"/>
    <s v="United States"/>
    <x v="11"/>
    <s v="Mobile"/>
    <s v="Safari"/>
    <x v="0"/>
    <n v="35"/>
    <n v="1"/>
    <n v="31.49"/>
    <s v="Mobile_User"/>
    <n v="0.89971428571428569"/>
    <x v="4"/>
    <x v="1"/>
  </r>
  <r>
    <n v="1472529951"/>
    <d v="2016-08-29T00:00:00"/>
    <s v="United States"/>
    <x v="0"/>
    <s v="Mobile"/>
    <s v="Chrome"/>
    <x v="0"/>
    <n v="11"/>
    <n v="1"/>
    <n v="31.49"/>
    <s v="Mobile_User"/>
    <n v="2.8627272727272728"/>
    <x v="3"/>
    <x v="1"/>
  </r>
  <r>
    <n v="1489371345"/>
    <d v="2017-03-12T00:00:00"/>
    <s v="United States"/>
    <x v="2"/>
    <s v="Mobile"/>
    <s v="Safari"/>
    <x v="0"/>
    <n v="24"/>
    <n v="1"/>
    <n v="31.93"/>
    <s v="Mobile_User"/>
    <n v="1.3304166666666666"/>
    <x v="2"/>
    <x v="1"/>
  </r>
  <r>
    <n v="1500579086"/>
    <d v="2017-07-20T00:00:00"/>
    <s v="United States"/>
    <x v="1"/>
    <s v="Mobile"/>
    <s v="Safari"/>
    <x v="1"/>
    <n v="25"/>
    <n v="1"/>
    <n v="31.96"/>
    <s v="Mobile_User"/>
    <n v="1.2784"/>
    <x v="4"/>
    <x v="1"/>
  </r>
  <r>
    <n v="1477704763"/>
    <d v="2016-10-28T00:00:00"/>
    <s v="United States"/>
    <x v="22"/>
    <s v="Mobile"/>
    <s v="Chrome"/>
    <x v="1"/>
    <n v="8"/>
    <n v="1"/>
    <n v="31.99"/>
    <s v="Mobile_User"/>
    <n v="3.9987499999999998"/>
    <x v="0"/>
    <x v="1"/>
  </r>
  <r>
    <n v="1500192932"/>
    <d v="2017-07-16T00:00:00"/>
    <s v="Malaysia"/>
    <x v="40"/>
    <s v="Mobile"/>
    <s v="Chrome"/>
    <x v="0"/>
    <n v="20"/>
    <n v="1"/>
    <n v="32"/>
    <s v="Mobile_User"/>
    <n v="1.6"/>
    <x v="2"/>
    <x v="1"/>
  </r>
  <r>
    <n v="1492060812"/>
    <d v="2017-04-12T00:00:00"/>
    <s v="United States"/>
    <x v="2"/>
    <s v="Mobile"/>
    <s v="Safari"/>
    <x v="0"/>
    <n v="26"/>
    <n v="1"/>
    <n v="32.17"/>
    <s v="Mobile_User"/>
    <n v="1.2373076923076924"/>
    <x v="1"/>
    <x v="1"/>
  </r>
  <r>
    <n v="1500930573"/>
    <d v="2017-07-24T00:00:00"/>
    <s v="United States"/>
    <x v="41"/>
    <s v="Mobile"/>
    <s v="Chrome"/>
    <x v="1"/>
    <n v="29"/>
    <n v="1"/>
    <n v="32.28"/>
    <s v="Mobile_User"/>
    <n v="1.1131034482758622"/>
    <x v="3"/>
    <x v="1"/>
  </r>
  <r>
    <n v="1477895676"/>
    <d v="2016-10-30T00:00:00"/>
    <s v="United States"/>
    <x v="15"/>
    <s v="Mobile"/>
    <s v="Safari"/>
    <x v="0"/>
    <n v="74"/>
    <n v="1"/>
    <n v="32.729999999999997"/>
    <s v="Mobile_User"/>
    <n v="0.44229729729729728"/>
    <x v="2"/>
    <x v="1"/>
  </r>
  <r>
    <n v="1475733990"/>
    <d v="2016-10-05T00:00:00"/>
    <s v="United States"/>
    <x v="2"/>
    <s v="Mobile"/>
    <s v="Chrome"/>
    <x v="1"/>
    <n v="64"/>
    <n v="1"/>
    <n v="32.950000000000003"/>
    <s v="Mobile_User"/>
    <n v="0.51484375000000004"/>
    <x v="1"/>
    <x v="1"/>
  </r>
  <r>
    <n v="1497665633"/>
    <d v="2017-06-16T00:00:00"/>
    <s v="United States"/>
    <x v="0"/>
    <s v="Mobile"/>
    <s v="Chrome"/>
    <x v="1"/>
    <n v="5"/>
    <n v="1"/>
    <n v="32.979999999999997"/>
    <s v="Mobile_User"/>
    <n v="6.5959999999999992"/>
    <x v="0"/>
    <x v="1"/>
  </r>
  <r>
    <n v="1497522068"/>
    <d v="2017-06-15T00:00:00"/>
    <s v="Canada"/>
    <x v="0"/>
    <s v="Mobile"/>
    <s v="Safari"/>
    <x v="0"/>
    <n v="26"/>
    <n v="1"/>
    <n v="33.93"/>
    <s v="Mobile_User"/>
    <n v="1.3049999999999999"/>
    <x v="4"/>
    <x v="1"/>
  </r>
  <r>
    <n v="1498608049"/>
    <d v="2017-06-27T00:00:00"/>
    <s v="United States"/>
    <x v="15"/>
    <s v="Mobile"/>
    <s v="Safari"/>
    <x v="0"/>
    <n v="47"/>
    <n v="1"/>
    <n v="33.96"/>
    <s v="Mobile_User"/>
    <n v="0.7225531914893617"/>
    <x v="6"/>
    <x v="1"/>
  </r>
  <r>
    <n v="1480365085"/>
    <d v="2016-11-28T00:00:00"/>
    <s v="United States"/>
    <x v="10"/>
    <s v="Mobile"/>
    <s v="Safari"/>
    <x v="1"/>
    <n v="18"/>
    <n v="1"/>
    <n v="33.97"/>
    <s v="Mobile_User"/>
    <n v="1.8872222222222221"/>
    <x v="3"/>
    <x v="1"/>
  </r>
  <r>
    <n v="1491897099"/>
    <d v="2017-04-11T00:00:00"/>
    <s v="United States"/>
    <x v="4"/>
    <s v="Mobile"/>
    <s v="Chrome"/>
    <x v="1"/>
    <n v="17"/>
    <n v="1"/>
    <n v="33.979999999999997"/>
    <s v="Mobile_User"/>
    <n v="1.9988235294117644"/>
    <x v="6"/>
    <x v="1"/>
  </r>
  <r>
    <n v="1496538357"/>
    <d v="2017-06-03T00:00:00"/>
    <s v="United States"/>
    <x v="0"/>
    <s v="Mobile"/>
    <s v="Chrome"/>
    <x v="0"/>
    <n v="25"/>
    <n v="1"/>
    <n v="33.979999999999997"/>
    <s v="Mobile_User"/>
    <n v="1.3592"/>
    <x v="5"/>
    <x v="1"/>
  </r>
  <r>
    <n v="1483732158"/>
    <d v="2017-01-06T00:00:00"/>
    <s v="United States"/>
    <x v="0"/>
    <s v="Mobile"/>
    <s v="Chrome"/>
    <x v="1"/>
    <n v="19"/>
    <n v="1"/>
    <n v="33.979999999999997"/>
    <s v="Mobile_User"/>
    <n v="1.7884210526315787"/>
    <x v="0"/>
    <x v="1"/>
  </r>
  <r>
    <n v="1479611370"/>
    <d v="2016-11-19T00:00:00"/>
    <s v="United States"/>
    <x v="0"/>
    <s v="Mobile"/>
    <s v="Safari"/>
    <x v="1"/>
    <n v="24"/>
    <n v="1"/>
    <n v="33.979999999999997"/>
    <s v="Mobile_User"/>
    <n v="1.4158333333333333"/>
    <x v="5"/>
    <x v="1"/>
  </r>
  <r>
    <n v="1496860553"/>
    <d v="2017-06-07T00:00:00"/>
    <s v="United States"/>
    <x v="0"/>
    <s v="Mobile"/>
    <s v="Safari"/>
    <x v="1"/>
    <n v="14"/>
    <n v="1"/>
    <n v="33.979999999999997"/>
    <s v="Mobile_User"/>
    <n v="2.427142857142857"/>
    <x v="1"/>
    <x v="1"/>
  </r>
  <r>
    <n v="1491850108"/>
    <d v="2017-04-10T00:00:00"/>
    <s v="Colombia"/>
    <x v="0"/>
    <s v="Mobile"/>
    <s v="Chrome"/>
    <x v="0"/>
    <n v="22"/>
    <n v="1"/>
    <n v="33.979999999999997"/>
    <s v="Mobile_User"/>
    <n v="1.5445454545454544"/>
    <x v="3"/>
    <x v="1"/>
  </r>
  <r>
    <n v="1482000084"/>
    <d v="2016-12-17T00:00:00"/>
    <s v="United States"/>
    <x v="10"/>
    <s v="Mobile"/>
    <s v="Chrome"/>
    <x v="1"/>
    <n v="16"/>
    <n v="1"/>
    <n v="33.979999999999997"/>
    <s v="Mobile_User"/>
    <n v="2.1237499999999998"/>
    <x v="5"/>
    <x v="1"/>
  </r>
  <r>
    <n v="1490221562"/>
    <d v="2017-03-22T00:00:00"/>
    <s v="United States"/>
    <x v="2"/>
    <s v="Mobile"/>
    <s v="Safari"/>
    <x v="1"/>
    <n v="23"/>
    <n v="1"/>
    <n v="33.979999999999997"/>
    <s v="Mobile_User"/>
    <n v="1.477391304347826"/>
    <x v="1"/>
    <x v="1"/>
  </r>
  <r>
    <n v="1497449994"/>
    <d v="2017-06-14T00:00:00"/>
    <s v="United States"/>
    <x v="0"/>
    <s v="Mobile"/>
    <s v="Chrome"/>
    <x v="0"/>
    <n v="16"/>
    <n v="1"/>
    <n v="33.979999999999997"/>
    <s v="Mobile_User"/>
    <n v="2.1237499999999998"/>
    <x v="1"/>
    <x v="1"/>
  </r>
  <r>
    <n v="1487394936"/>
    <d v="2017-02-17T00:00:00"/>
    <s v="United States"/>
    <x v="42"/>
    <s v="Mobile"/>
    <s v="Chrome"/>
    <x v="0"/>
    <n v="27"/>
    <n v="1"/>
    <n v="33.979999999999997"/>
    <s v="Mobile_User"/>
    <n v="1.2585185185185184"/>
    <x v="0"/>
    <x v="1"/>
  </r>
  <r>
    <n v="1489790435"/>
    <d v="2017-03-17T00:00:00"/>
    <s v="United States"/>
    <x v="43"/>
    <s v="Mobile"/>
    <s v="Internet Explorer"/>
    <x v="1"/>
    <n v="20"/>
    <n v="1"/>
    <n v="33.979999999999997"/>
    <s v="Mobile_User"/>
    <n v="1.6989999999999998"/>
    <x v="0"/>
    <x v="1"/>
  </r>
  <r>
    <n v="1476502145"/>
    <d v="2016-10-14T00:00:00"/>
    <s v="United States"/>
    <x v="0"/>
    <s v="Mobile"/>
    <s v="Safari"/>
    <x v="1"/>
    <n v="15"/>
    <n v="1"/>
    <n v="33.99"/>
    <s v="Mobile_User"/>
    <n v="2.266"/>
    <x v="0"/>
    <x v="1"/>
  </r>
  <r>
    <n v="1499254237"/>
    <d v="2017-07-05T00:00:00"/>
    <s v="United States"/>
    <x v="3"/>
    <s v="Mobile"/>
    <s v="Chrome"/>
    <x v="1"/>
    <n v="13"/>
    <n v="1"/>
    <n v="34.380000000000003"/>
    <s v="Mobile_User"/>
    <n v="2.6446153846153848"/>
    <x v="1"/>
    <x v="1"/>
  </r>
  <r>
    <n v="1474610547"/>
    <d v="2016-09-22T00:00:00"/>
    <s v="United States"/>
    <x v="8"/>
    <s v="Mobile"/>
    <s v="Safari"/>
    <x v="0"/>
    <n v="47"/>
    <n v="1"/>
    <n v="34.46"/>
    <s v="Mobile_User"/>
    <n v="0.7331914893617022"/>
    <x v="4"/>
    <x v="1"/>
  </r>
  <r>
    <n v="1470699668"/>
    <d v="2016-08-08T00:00:00"/>
    <s v="United States"/>
    <x v="1"/>
    <s v="Mobile"/>
    <s v="Safari"/>
    <x v="0"/>
    <n v="18"/>
    <n v="1"/>
    <n v="34.5"/>
    <s v="Mobile_User"/>
    <n v="1.9166666666666667"/>
    <x v="3"/>
    <x v="1"/>
  </r>
  <r>
    <n v="1488177360"/>
    <d v="2017-02-26T00:00:00"/>
    <s v="United States"/>
    <x v="0"/>
    <s v="Mobile"/>
    <s v="Safari"/>
    <x v="0"/>
    <n v="35"/>
    <n v="1"/>
    <n v="34.909999999999997"/>
    <s v="Mobile_User"/>
    <n v="0.99742857142857133"/>
    <x v="2"/>
    <x v="1"/>
  </r>
  <r>
    <n v="1481127499"/>
    <d v="2016-12-07T00:00:00"/>
    <s v="United States"/>
    <x v="0"/>
    <s v="Mobile"/>
    <s v="Safari"/>
    <x v="1"/>
    <n v="24"/>
    <n v="1"/>
    <n v="34.94"/>
    <s v="Mobile_User"/>
    <n v="1.4558333333333333"/>
    <x v="1"/>
    <x v="1"/>
  </r>
  <r>
    <n v="1485018827"/>
    <d v="2017-01-21T00:00:00"/>
    <s v="United States"/>
    <x v="0"/>
    <s v="Mobile"/>
    <s v="Safari"/>
    <x v="1"/>
    <n v="41"/>
    <n v="1"/>
    <n v="34.96"/>
    <s v="Mobile_User"/>
    <n v="0.85268292682926827"/>
    <x v="5"/>
    <x v="1"/>
  </r>
  <r>
    <n v="1483534225"/>
    <d v="2017-01-04T00:00:00"/>
    <s v="United States"/>
    <x v="0"/>
    <s v="Mobile"/>
    <s v="Chrome"/>
    <x v="1"/>
    <n v="27"/>
    <n v="1"/>
    <n v="34.97"/>
    <s v="Mobile_User"/>
    <n v="1.2951851851851852"/>
    <x v="1"/>
    <x v="1"/>
  </r>
  <r>
    <n v="1487732320"/>
    <d v="2017-02-21T00:00:00"/>
    <s v="United States"/>
    <x v="1"/>
    <s v="Mobile"/>
    <s v="Chrome"/>
    <x v="0"/>
    <n v="37"/>
    <n v="1"/>
    <n v="34.97"/>
    <s v="Mobile_User"/>
    <n v="0.94513513513513514"/>
    <x v="6"/>
    <x v="1"/>
  </r>
  <r>
    <n v="1478661295"/>
    <d v="2016-11-08T00:00:00"/>
    <s v="United States"/>
    <x v="0"/>
    <s v="Mobile"/>
    <s v="Safari"/>
    <x v="1"/>
    <n v="8"/>
    <n v="1"/>
    <n v="34.99"/>
    <s v="Mobile_User"/>
    <n v="4.3737500000000002"/>
    <x v="6"/>
    <x v="1"/>
  </r>
  <r>
    <n v="1498087985"/>
    <d v="2017-06-21T00:00:00"/>
    <s v="United States"/>
    <x v="13"/>
    <s v="Mobile"/>
    <s v="Safari"/>
    <x v="1"/>
    <n v="8"/>
    <n v="1"/>
    <n v="34.99"/>
    <s v="Mobile_User"/>
    <n v="4.3737500000000002"/>
    <x v="1"/>
    <x v="1"/>
  </r>
  <r>
    <n v="1483137899"/>
    <d v="2016-12-30T00:00:00"/>
    <s v="United States"/>
    <x v="0"/>
    <s v="Mobile"/>
    <s v="Safari"/>
    <x v="1"/>
    <n v="23"/>
    <n v="1"/>
    <n v="34.99"/>
    <s v="Mobile_User"/>
    <n v="1.521304347826087"/>
    <x v="0"/>
    <x v="1"/>
  </r>
  <r>
    <n v="1481510316"/>
    <d v="2016-12-11T00:00:00"/>
    <s v="United States"/>
    <x v="0"/>
    <s v="Mobile"/>
    <s v="Safari"/>
    <x v="1"/>
    <n v="21"/>
    <n v="1"/>
    <n v="34.99"/>
    <s v="Mobile_User"/>
    <n v="1.6661904761904762"/>
    <x v="2"/>
    <x v="1"/>
  </r>
  <r>
    <n v="1479410455"/>
    <d v="2016-11-17T00:00:00"/>
    <s v="United States"/>
    <x v="22"/>
    <s v="Mobile"/>
    <s v="Chrome"/>
    <x v="1"/>
    <n v="12"/>
    <n v="1"/>
    <n v="34.99"/>
    <s v="Mobile_User"/>
    <n v="2.9158333333333335"/>
    <x v="4"/>
    <x v="1"/>
  </r>
  <r>
    <n v="1498489516"/>
    <d v="2017-06-26T00:00:00"/>
    <s v="United States"/>
    <x v="4"/>
    <s v="Mobile"/>
    <s v="Safari"/>
    <x v="1"/>
    <n v="15"/>
    <n v="1"/>
    <n v="35"/>
    <s v="Mobile_User"/>
    <n v="2.3333333333333335"/>
    <x v="3"/>
    <x v="1"/>
  </r>
  <r>
    <n v="1493871212"/>
    <d v="2017-05-03T00:00:00"/>
    <s v="United States"/>
    <x v="0"/>
    <s v="Mobile"/>
    <s v="Safari"/>
    <x v="0"/>
    <n v="52"/>
    <n v="1"/>
    <n v="35.25"/>
    <s v="Mobile_User"/>
    <n v="0.67788461538461542"/>
    <x v="1"/>
    <x v="1"/>
  </r>
  <r>
    <n v="1471488032"/>
    <d v="2016-08-17T00:00:00"/>
    <s v="United States"/>
    <x v="0"/>
    <s v="Mobile"/>
    <s v="Chrome"/>
    <x v="0"/>
    <n v="19"/>
    <n v="1"/>
    <n v="35.31"/>
    <s v="Mobile_User"/>
    <n v="1.858421052631579"/>
    <x v="1"/>
    <x v="1"/>
  </r>
  <r>
    <n v="1472853332"/>
    <d v="2016-09-02T00:00:00"/>
    <s v="United States"/>
    <x v="22"/>
    <s v="Mobile"/>
    <s v="Chrome"/>
    <x v="0"/>
    <n v="16"/>
    <n v="1"/>
    <n v="35.479999999999997"/>
    <s v="Mobile_User"/>
    <n v="2.2174999999999998"/>
    <x v="0"/>
    <x v="1"/>
  </r>
  <r>
    <n v="1495221764"/>
    <d v="2017-05-19T00:00:00"/>
    <s v="United States"/>
    <x v="1"/>
    <s v="Mobile"/>
    <s v="Chrome"/>
    <x v="1"/>
    <n v="11"/>
    <n v="1"/>
    <n v="35.68"/>
    <s v="Mobile_User"/>
    <n v="3.2436363636363637"/>
    <x v="0"/>
    <x v="1"/>
  </r>
  <r>
    <n v="1479496343"/>
    <d v="2016-11-18T00:00:00"/>
    <s v="Canada"/>
    <x v="0"/>
    <s v="Mobile"/>
    <s v="Safari"/>
    <x v="1"/>
    <n v="58"/>
    <n v="1"/>
    <n v="35.979999999999997"/>
    <s v="Mobile_User"/>
    <n v="0.62034482758620679"/>
    <x v="0"/>
    <x v="1"/>
  </r>
  <r>
    <n v="1475588623"/>
    <d v="2016-10-04T00:00:00"/>
    <s v="United States"/>
    <x v="0"/>
    <s v="Mobile"/>
    <s v="Chrome"/>
    <x v="1"/>
    <n v="27"/>
    <n v="1"/>
    <n v="35.979999999999997"/>
    <s v="Mobile_User"/>
    <n v="1.3325925925925926"/>
    <x v="6"/>
    <x v="1"/>
  </r>
  <r>
    <n v="1490477313"/>
    <d v="2017-03-25T00:00:00"/>
    <s v="United States"/>
    <x v="2"/>
    <s v="Mobile"/>
    <s v="Chrome"/>
    <x v="1"/>
    <n v="27"/>
    <n v="1"/>
    <n v="35.979999999999997"/>
    <s v="Mobile_User"/>
    <n v="1.3325925925925926"/>
    <x v="5"/>
    <x v="1"/>
  </r>
  <r>
    <n v="1499958768"/>
    <d v="2017-07-13T00:00:00"/>
    <s v="United States"/>
    <x v="0"/>
    <s v="Mobile"/>
    <s v="Chrome"/>
    <x v="0"/>
    <n v="11"/>
    <n v="1"/>
    <n v="35.979999999999997"/>
    <s v="Mobile_User"/>
    <n v="3.2709090909090905"/>
    <x v="4"/>
    <x v="1"/>
  </r>
  <r>
    <n v="1487881797"/>
    <d v="2017-02-23T00:00:00"/>
    <s v="United States"/>
    <x v="0"/>
    <s v="Mobile"/>
    <s v="Chrome"/>
    <x v="1"/>
    <n v="28"/>
    <n v="1"/>
    <n v="35.979999999999997"/>
    <s v="Mobile_User"/>
    <n v="1.2849999999999999"/>
    <x v="4"/>
    <x v="1"/>
  </r>
  <r>
    <n v="1480710430"/>
    <d v="2016-12-02T00:00:00"/>
    <s v="Canada"/>
    <x v="0"/>
    <s v="Mobile"/>
    <s v="Safari"/>
    <x v="1"/>
    <n v="35"/>
    <n v="1"/>
    <n v="36.47"/>
    <s v="Mobile_User"/>
    <n v="1.042"/>
    <x v="0"/>
    <x v="1"/>
  </r>
  <r>
    <n v="1497048235"/>
    <d v="2017-06-09T00:00:00"/>
    <s v="United States"/>
    <x v="10"/>
    <s v="Mobile"/>
    <s v="Chrome"/>
    <x v="1"/>
    <n v="40"/>
    <n v="1"/>
    <n v="36.479999999999997"/>
    <s v="Mobile_User"/>
    <n v="0.91199999999999992"/>
    <x v="0"/>
    <x v="1"/>
  </r>
  <r>
    <n v="1481576503"/>
    <d v="2016-12-12T00:00:00"/>
    <s v="United States"/>
    <x v="0"/>
    <s v="Mobile"/>
    <s v="Safari"/>
    <x v="1"/>
    <n v="23"/>
    <n v="1"/>
    <n v="36.97"/>
    <s v="Mobile_User"/>
    <n v="1.6073913043478261"/>
    <x v="3"/>
    <x v="1"/>
  </r>
  <r>
    <n v="1500075851"/>
    <d v="2017-07-14T00:00:00"/>
    <s v="United States"/>
    <x v="0"/>
    <s v="Mobile"/>
    <s v="Chrome"/>
    <x v="0"/>
    <n v="20"/>
    <n v="1"/>
    <n v="36.97"/>
    <s v="Mobile_User"/>
    <n v="1.8485"/>
    <x v="0"/>
    <x v="1"/>
  </r>
  <r>
    <n v="1500176337"/>
    <d v="2017-07-15T00:00:00"/>
    <s v="United States"/>
    <x v="0"/>
    <s v="Mobile"/>
    <s v="Safari"/>
    <x v="0"/>
    <n v="34"/>
    <n v="1"/>
    <n v="36.979999999999997"/>
    <s v="Mobile_User"/>
    <n v="1.0876470588235294"/>
    <x v="5"/>
    <x v="1"/>
  </r>
  <r>
    <n v="1495835562"/>
    <d v="2017-05-26T00:00:00"/>
    <s v="United States"/>
    <x v="0"/>
    <s v="Mobile"/>
    <s v="Chrome"/>
    <x v="0"/>
    <n v="13"/>
    <n v="1"/>
    <n v="36.979999999999997"/>
    <s v="Mobile_User"/>
    <n v="2.8446153846153845"/>
    <x v="0"/>
    <x v="1"/>
  </r>
  <r>
    <n v="1470420550"/>
    <d v="2016-08-05T00:00:00"/>
    <s v="United States"/>
    <x v="22"/>
    <s v="Mobile"/>
    <s v="Safari"/>
    <x v="1"/>
    <n v="21"/>
    <n v="1"/>
    <n v="36.99"/>
    <s v="Mobile_User"/>
    <n v="1.7614285714285716"/>
    <x v="0"/>
    <x v="1"/>
  </r>
  <r>
    <n v="1481919079"/>
    <d v="2016-12-16T00:00:00"/>
    <s v="United States"/>
    <x v="22"/>
    <s v="Mobile"/>
    <s v="Chrome"/>
    <x v="1"/>
    <n v="17"/>
    <n v="1"/>
    <n v="37"/>
    <s v="Mobile_User"/>
    <n v="2.1764705882352939"/>
    <x v="0"/>
    <x v="1"/>
  </r>
  <r>
    <n v="1485157896"/>
    <d v="2017-01-23T00:00:00"/>
    <s v="United States"/>
    <x v="0"/>
    <s v="Mobile"/>
    <s v="Safari"/>
    <x v="1"/>
    <n v="12"/>
    <n v="1"/>
    <n v="37.479999999999997"/>
    <s v="Mobile_User"/>
    <n v="3.1233333333333331"/>
    <x v="3"/>
    <x v="1"/>
  </r>
  <r>
    <n v="1472778870"/>
    <d v="2016-09-01T00:00:00"/>
    <s v="United States"/>
    <x v="4"/>
    <s v="Mobile"/>
    <s v="Chrome"/>
    <x v="0"/>
    <n v="23"/>
    <n v="1"/>
    <n v="37.799999999999997"/>
    <s v="Mobile_User"/>
    <n v="1.6434782608695651"/>
    <x v="4"/>
    <x v="1"/>
  </r>
  <r>
    <n v="1498859818"/>
    <d v="2017-06-30T00:00:00"/>
    <s v="United States"/>
    <x v="0"/>
    <s v="Mobile"/>
    <s v="Chrome"/>
    <x v="1"/>
    <n v="51"/>
    <n v="1"/>
    <n v="37.97"/>
    <s v="Mobile_User"/>
    <n v="0.74450980392156862"/>
    <x v="0"/>
    <x v="1"/>
  </r>
  <r>
    <n v="1482207502"/>
    <d v="2016-12-19T00:00:00"/>
    <s v="United States"/>
    <x v="0"/>
    <s v="Mobile"/>
    <s v="Internet Explorer"/>
    <x v="1"/>
    <n v="26"/>
    <n v="1"/>
    <n v="37.97"/>
    <s v="Mobile_User"/>
    <n v="1.4603846153846154"/>
    <x v="3"/>
    <x v="1"/>
  </r>
  <r>
    <n v="1485063570"/>
    <d v="2017-01-21T00:00:00"/>
    <s v="United States"/>
    <x v="0"/>
    <s v="Mobile"/>
    <s v="Chrome"/>
    <x v="1"/>
    <n v="22"/>
    <n v="1"/>
    <n v="37.979999999999997"/>
    <s v="Mobile_User"/>
    <n v="1.7263636363636363"/>
    <x v="5"/>
    <x v="1"/>
  </r>
  <r>
    <n v="1488820314"/>
    <d v="2017-03-06T00:00:00"/>
    <s v="United States"/>
    <x v="8"/>
    <s v="Mobile"/>
    <s v="Chrome"/>
    <x v="0"/>
    <n v="24"/>
    <n v="1"/>
    <n v="37.979999999999997"/>
    <s v="Mobile_User"/>
    <n v="1.5824999999999998"/>
    <x v="3"/>
    <x v="1"/>
  </r>
  <r>
    <n v="1488504151"/>
    <d v="2017-03-02T00:00:00"/>
    <s v="United States"/>
    <x v="0"/>
    <s v="Mobile"/>
    <s v="Chrome"/>
    <x v="0"/>
    <n v="17"/>
    <n v="1"/>
    <n v="37.979999999999997"/>
    <s v="Mobile_User"/>
    <n v="2.2341176470588233"/>
    <x v="4"/>
    <x v="1"/>
  </r>
  <r>
    <n v="1499465480"/>
    <d v="2017-07-07T00:00:00"/>
    <s v="United States"/>
    <x v="44"/>
    <s v="Mobile"/>
    <s v="Safari"/>
    <x v="0"/>
    <n v="12"/>
    <n v="1"/>
    <n v="37.979999999999997"/>
    <s v="Mobile_User"/>
    <n v="3.1649999999999996"/>
    <x v="0"/>
    <x v="1"/>
  </r>
  <r>
    <n v="1499728144"/>
    <d v="2017-07-10T00:00:00"/>
    <s v="United States"/>
    <x v="5"/>
    <s v="Mobile"/>
    <s v="Safari"/>
    <x v="0"/>
    <n v="16"/>
    <n v="1"/>
    <n v="37.979999999999997"/>
    <s v="Mobile_User"/>
    <n v="2.3737499999999998"/>
    <x v="3"/>
    <x v="1"/>
  </r>
  <r>
    <n v="1481694509"/>
    <d v="2016-12-13T00:00:00"/>
    <s v="United States"/>
    <x v="32"/>
    <s v="Mobile"/>
    <s v="Chrome"/>
    <x v="1"/>
    <n v="33"/>
    <n v="1"/>
    <n v="37.99"/>
    <s v="Mobile_User"/>
    <n v="1.1512121212121214"/>
    <x v="6"/>
    <x v="1"/>
  </r>
  <r>
    <n v="1482303690"/>
    <d v="2016-12-20T00:00:00"/>
    <s v="United States"/>
    <x v="0"/>
    <s v="Mobile"/>
    <s v="Chrome"/>
    <x v="1"/>
    <n v="26"/>
    <n v="1"/>
    <n v="38.47"/>
    <s v="Mobile_User"/>
    <n v="1.4796153846153846"/>
    <x v="6"/>
    <x v="1"/>
  </r>
  <r>
    <n v="1499136164"/>
    <d v="2017-07-03T00:00:00"/>
    <s v="United States"/>
    <x v="0"/>
    <s v="Mobile"/>
    <s v="Chrome"/>
    <x v="1"/>
    <n v="25"/>
    <n v="1"/>
    <n v="38.479999999999997"/>
    <s v="Mobile_User"/>
    <n v="1.5391999999999999"/>
    <x v="3"/>
    <x v="1"/>
  </r>
  <r>
    <n v="1472580873"/>
    <d v="2016-08-30T00:00:00"/>
    <s v="United States"/>
    <x v="0"/>
    <s v="Mobile"/>
    <s v="Safari"/>
    <x v="0"/>
    <n v="23"/>
    <n v="1"/>
    <n v="38.950000000000003"/>
    <s v="Mobile_User"/>
    <n v="1.6934782608695653"/>
    <x v="6"/>
    <x v="1"/>
  </r>
  <r>
    <n v="1475774109"/>
    <d v="2016-10-06T00:00:00"/>
    <s v="United States"/>
    <x v="2"/>
    <s v="Mobile"/>
    <s v="Safari"/>
    <x v="1"/>
    <n v="21"/>
    <n v="1"/>
    <n v="38.979999999999997"/>
    <s v="Mobile_User"/>
    <n v="1.8561904761904759"/>
    <x v="4"/>
    <x v="1"/>
  </r>
  <r>
    <n v="1495033440"/>
    <d v="2017-05-17T00:00:00"/>
    <s v="United States"/>
    <x v="32"/>
    <s v="Mobile"/>
    <s v="Chrome"/>
    <x v="0"/>
    <n v="20"/>
    <n v="1"/>
    <n v="38.979999999999997"/>
    <s v="Mobile_User"/>
    <n v="1.9489999999999998"/>
    <x v="1"/>
    <x v="1"/>
  </r>
  <r>
    <n v="1474649077"/>
    <d v="2016-09-23T00:00:00"/>
    <s v="United States"/>
    <x v="0"/>
    <s v="Mobile"/>
    <s v="Chrome"/>
    <x v="1"/>
    <n v="20"/>
    <n v="1"/>
    <n v="38.979999999999997"/>
    <s v="Mobile_User"/>
    <n v="1.9489999999999998"/>
    <x v="0"/>
    <x v="1"/>
  </r>
  <r>
    <n v="1493202812"/>
    <d v="2017-04-26T00:00:00"/>
    <s v="Canada"/>
    <x v="45"/>
    <s v="Mobile"/>
    <s v="Safari"/>
    <x v="1"/>
    <n v="30"/>
    <n v="2"/>
    <n v="38.979999999999997"/>
    <s v="Mobile_User"/>
    <n v="1.2993333333333332"/>
    <x v="1"/>
    <x v="1"/>
  </r>
  <r>
    <n v="1499729470"/>
    <d v="2017-07-10T00:00:00"/>
    <s v="United States"/>
    <x v="5"/>
    <s v="Mobile"/>
    <s v="Safari"/>
    <x v="0"/>
    <n v="21"/>
    <n v="1"/>
    <n v="39.869999999999997"/>
    <s v="Mobile_User"/>
    <n v="1.8985714285714284"/>
    <x v="3"/>
    <x v="1"/>
  </r>
  <r>
    <n v="1477694641"/>
    <d v="2016-10-28T00:00:00"/>
    <s v="United States"/>
    <x v="0"/>
    <s v="Mobile"/>
    <s v="Chrome"/>
    <x v="1"/>
    <n v="71"/>
    <n v="1"/>
    <n v="39.97"/>
    <s v="Mobile_User"/>
    <n v="0.5629577464788732"/>
    <x v="0"/>
    <x v="1"/>
  </r>
  <r>
    <n v="1490150619"/>
    <d v="2017-03-21T00:00:00"/>
    <s v="United States"/>
    <x v="2"/>
    <s v="Mobile"/>
    <s v="Chrome"/>
    <x v="0"/>
    <n v="14"/>
    <n v="1"/>
    <n v="39.979999999999997"/>
    <s v="Mobile_User"/>
    <n v="2.8557142857142854"/>
    <x v="6"/>
    <x v="1"/>
  </r>
  <r>
    <n v="1482203319"/>
    <d v="2016-12-19T00:00:00"/>
    <s v="United States"/>
    <x v="0"/>
    <s v="Mobile"/>
    <s v="Safari"/>
    <x v="1"/>
    <n v="16"/>
    <n v="1"/>
    <n v="39.99"/>
    <s v="Mobile_User"/>
    <n v="2.4993750000000001"/>
    <x v="3"/>
    <x v="1"/>
  </r>
  <r>
    <n v="1481508973"/>
    <d v="2016-12-11T00:00:00"/>
    <s v="United States"/>
    <x v="0"/>
    <s v="Mobile"/>
    <s v="Chrome"/>
    <x v="1"/>
    <n v="14"/>
    <n v="1"/>
    <n v="39.99"/>
    <s v="Mobile_User"/>
    <n v="2.8564285714285718"/>
    <x v="2"/>
    <x v="1"/>
  </r>
  <r>
    <n v="1475700100"/>
    <d v="2016-10-05T00:00:00"/>
    <s v="United States"/>
    <x v="9"/>
    <s v="Mobile"/>
    <s v="Chrome"/>
    <x v="1"/>
    <n v="14"/>
    <n v="1"/>
    <n v="39.99"/>
    <s v="Mobile_User"/>
    <n v="2.8564285714285718"/>
    <x v="1"/>
    <x v="1"/>
  </r>
  <r>
    <n v="1478668092"/>
    <d v="2016-11-08T00:00:00"/>
    <s v="United States"/>
    <x v="0"/>
    <s v="Mobile"/>
    <s v="Safari"/>
    <x v="1"/>
    <n v="18"/>
    <n v="1"/>
    <n v="39.99"/>
    <s v="Mobile_User"/>
    <n v="2.2216666666666667"/>
    <x v="6"/>
    <x v="1"/>
  </r>
  <r>
    <n v="1478302963"/>
    <d v="2016-11-04T00:00:00"/>
    <s v="United States"/>
    <x v="0"/>
    <s v="Mobile"/>
    <s v="Chrome"/>
    <x v="1"/>
    <n v="29"/>
    <n v="1"/>
    <n v="39.99"/>
    <s v="Mobile_User"/>
    <n v="1.3789655172413793"/>
    <x v="0"/>
    <x v="1"/>
  </r>
  <r>
    <n v="1472396788"/>
    <d v="2016-08-28T00:00:00"/>
    <s v="United States"/>
    <x v="0"/>
    <s v="Mobile"/>
    <s v="Chrome"/>
    <x v="0"/>
    <n v="41"/>
    <n v="1"/>
    <n v="40.18"/>
    <s v="Mobile_User"/>
    <n v="0.98"/>
    <x v="2"/>
    <x v="1"/>
  </r>
  <r>
    <n v="1475894968"/>
    <d v="2016-10-07T00:00:00"/>
    <s v="United States"/>
    <x v="46"/>
    <s v="Mobile"/>
    <s v="Chrome"/>
    <x v="0"/>
    <n v="46"/>
    <n v="1"/>
    <n v="40.369999999999997"/>
    <s v="Mobile_User"/>
    <n v="0.87760869565217381"/>
    <x v="0"/>
    <x v="1"/>
  </r>
  <r>
    <n v="1473266902"/>
    <d v="2016-09-07T00:00:00"/>
    <s v="United States"/>
    <x v="0"/>
    <s v="Mobile"/>
    <s v="Internet Explorer"/>
    <x v="1"/>
    <n v="20"/>
    <n v="1"/>
    <n v="40.4"/>
    <s v="Mobile_User"/>
    <n v="2.02"/>
    <x v="1"/>
    <x v="1"/>
  </r>
  <r>
    <n v="1472348975"/>
    <d v="2016-08-27T00:00:00"/>
    <s v="United States"/>
    <x v="0"/>
    <s v="Mobile"/>
    <s v="Chrome"/>
    <x v="1"/>
    <n v="39"/>
    <n v="1"/>
    <n v="40.47"/>
    <s v="Mobile_User"/>
    <n v="1.0376923076923077"/>
    <x v="5"/>
    <x v="1"/>
  </r>
  <r>
    <n v="1472528813"/>
    <d v="2016-08-29T00:00:00"/>
    <s v="United States"/>
    <x v="0"/>
    <s v="Mobile"/>
    <s v="Safari"/>
    <x v="0"/>
    <n v="22"/>
    <n v="1"/>
    <n v="40.479999999999997"/>
    <s v="Mobile_User"/>
    <n v="1.8399999999999999"/>
    <x v="3"/>
    <x v="1"/>
  </r>
  <r>
    <n v="1471721060"/>
    <d v="2016-08-20T00:00:00"/>
    <s v="United States"/>
    <x v="0"/>
    <s v="Mobile"/>
    <s v="Safari"/>
    <x v="0"/>
    <n v="16"/>
    <n v="1"/>
    <n v="40.479999999999997"/>
    <s v="Mobile_User"/>
    <n v="2.5299999999999998"/>
    <x v="5"/>
    <x v="1"/>
  </r>
  <r>
    <n v="1495653119"/>
    <d v="2017-05-24T00:00:00"/>
    <s v="United States"/>
    <x v="3"/>
    <s v="Mobile"/>
    <s v="Chrome"/>
    <x v="0"/>
    <n v="28"/>
    <n v="1"/>
    <n v="40.97"/>
    <s v="Mobile_User"/>
    <n v="1.4632142857142856"/>
    <x v="1"/>
    <x v="1"/>
  </r>
  <r>
    <n v="1480571493"/>
    <d v="2016-11-30T00:00:00"/>
    <s v="United States"/>
    <x v="0"/>
    <s v="Mobile"/>
    <s v="Safari"/>
    <x v="1"/>
    <n v="18"/>
    <n v="1"/>
    <n v="41.98"/>
    <s v="Mobile_User"/>
    <n v="2.3322222222222222"/>
    <x v="1"/>
    <x v="1"/>
  </r>
  <r>
    <n v="1480480557"/>
    <d v="2016-11-29T00:00:00"/>
    <s v="United States"/>
    <x v="4"/>
    <s v="Mobile"/>
    <s v="Safari"/>
    <x v="1"/>
    <n v="42"/>
    <n v="1"/>
    <n v="41.98"/>
    <s v="Mobile_User"/>
    <n v="0.99952380952380948"/>
    <x v="6"/>
    <x v="1"/>
  </r>
  <r>
    <n v="1480636441"/>
    <d v="2016-12-01T00:00:00"/>
    <s v="United States"/>
    <x v="2"/>
    <s v="Mobile"/>
    <s v="Chrome"/>
    <x v="1"/>
    <n v="29"/>
    <n v="1"/>
    <n v="41.98"/>
    <s v="Mobile_User"/>
    <n v="1.4475862068965517"/>
    <x v="4"/>
    <x v="1"/>
  </r>
  <r>
    <n v="1481393164"/>
    <d v="2016-12-10T00:00:00"/>
    <s v="United States"/>
    <x v="0"/>
    <s v="Mobile"/>
    <s v="Safari"/>
    <x v="1"/>
    <n v="41"/>
    <n v="1"/>
    <n v="41.98"/>
    <s v="Mobile_User"/>
    <n v="1.0239024390243903"/>
    <x v="5"/>
    <x v="1"/>
  </r>
  <r>
    <n v="1493947909"/>
    <d v="2017-05-04T00:00:00"/>
    <s v="United States"/>
    <x v="2"/>
    <s v="Mobile"/>
    <s v="Chrome"/>
    <x v="1"/>
    <n v="15"/>
    <n v="1"/>
    <n v="41.99"/>
    <s v="Mobile_User"/>
    <n v="2.7993333333333337"/>
    <x v="4"/>
    <x v="1"/>
  </r>
  <r>
    <n v="1480267791"/>
    <d v="2016-11-27T00:00:00"/>
    <s v="United States"/>
    <x v="0"/>
    <s v="Mobile"/>
    <s v="Chrome"/>
    <x v="1"/>
    <n v="26"/>
    <n v="1"/>
    <n v="42.47"/>
    <s v="Mobile_User"/>
    <n v="1.6334615384615385"/>
    <x v="2"/>
    <x v="1"/>
  </r>
  <r>
    <n v="1473563927"/>
    <d v="2016-09-10T00:00:00"/>
    <s v="United States"/>
    <x v="0"/>
    <s v="Mobile"/>
    <s v="Chrome"/>
    <x v="0"/>
    <n v="38"/>
    <n v="1"/>
    <n v="42.85"/>
    <s v="Mobile_User"/>
    <n v="1.1276315789473685"/>
    <x v="5"/>
    <x v="1"/>
  </r>
  <r>
    <n v="1491454128"/>
    <d v="2017-04-05T00:00:00"/>
    <s v="United States"/>
    <x v="8"/>
    <s v="Mobile"/>
    <s v="Chrome"/>
    <x v="1"/>
    <n v="23"/>
    <n v="1"/>
    <n v="42.97"/>
    <s v="Mobile_User"/>
    <n v="1.8682608695652174"/>
    <x v="1"/>
    <x v="1"/>
  </r>
  <r>
    <n v="1497208111"/>
    <d v="2017-06-11T00:00:00"/>
    <s v="United States"/>
    <x v="0"/>
    <s v="Mobile"/>
    <s v="Safari"/>
    <x v="1"/>
    <n v="31"/>
    <n v="1"/>
    <n v="42.97"/>
    <s v="Mobile_User"/>
    <n v="1.3861290322580644"/>
    <x v="2"/>
    <x v="1"/>
  </r>
  <r>
    <n v="1482203039"/>
    <d v="2016-12-19T00:00:00"/>
    <s v="United States"/>
    <x v="0"/>
    <s v="Mobile"/>
    <s v="Chrome"/>
    <x v="1"/>
    <n v="37"/>
    <n v="1"/>
    <n v="43.21"/>
    <s v="Mobile_User"/>
    <n v="1.1678378378378378"/>
    <x v="3"/>
    <x v="1"/>
  </r>
  <r>
    <n v="1497969297"/>
    <d v="2017-06-20T00:00:00"/>
    <s v="United States"/>
    <x v="0"/>
    <s v="Mobile"/>
    <s v="Chrome"/>
    <x v="1"/>
    <n v="44"/>
    <n v="1"/>
    <n v="43.37"/>
    <s v="Mobile_User"/>
    <n v="0.9856818181818181"/>
    <x v="6"/>
    <x v="1"/>
  </r>
  <r>
    <n v="1501451104"/>
    <d v="2017-07-30T00:00:00"/>
    <s v="United States"/>
    <x v="1"/>
    <s v="Mobile"/>
    <s v="Chrome"/>
    <x v="0"/>
    <n v="45"/>
    <n v="1"/>
    <n v="43.38"/>
    <s v="Mobile_User"/>
    <n v="0.96400000000000008"/>
    <x v="2"/>
    <x v="1"/>
  </r>
  <r>
    <n v="1470983014"/>
    <d v="2016-08-11T00:00:00"/>
    <s v="United States"/>
    <x v="15"/>
    <s v="Mobile"/>
    <s v="Safari"/>
    <x v="0"/>
    <n v="31"/>
    <n v="1"/>
    <n v="43.44"/>
    <s v="Mobile_User"/>
    <n v="1.401290322580645"/>
    <x v="4"/>
    <x v="1"/>
  </r>
  <r>
    <n v="1481045020"/>
    <d v="2016-12-06T00:00:00"/>
    <s v="United States"/>
    <x v="0"/>
    <s v="Mobile"/>
    <s v="Internet Explorer"/>
    <x v="1"/>
    <n v="17"/>
    <n v="1"/>
    <n v="43.47"/>
    <s v="Mobile_User"/>
    <n v="2.5570588235294118"/>
    <x v="6"/>
    <x v="1"/>
  </r>
  <r>
    <n v="1498088552"/>
    <d v="2017-06-21T00:00:00"/>
    <s v="United States"/>
    <x v="0"/>
    <s v="Mobile"/>
    <s v="Chrome"/>
    <x v="1"/>
    <n v="30"/>
    <n v="1"/>
    <n v="43.57"/>
    <s v="Mobile_User"/>
    <n v="1.4523333333333333"/>
    <x v="1"/>
    <x v="1"/>
  </r>
  <r>
    <n v="1497545921"/>
    <d v="2017-06-15T00:00:00"/>
    <s v="United States"/>
    <x v="0"/>
    <s v="Mobile"/>
    <s v="Chrome"/>
    <x v="1"/>
    <n v="29"/>
    <n v="1"/>
    <n v="43.66"/>
    <s v="Mobile_User"/>
    <n v="1.5055172413793103"/>
    <x v="4"/>
    <x v="1"/>
  </r>
  <r>
    <n v="1476180728"/>
    <d v="2016-10-11T00:00:00"/>
    <s v="United States"/>
    <x v="0"/>
    <s v="Mobile"/>
    <s v="Chrome"/>
    <x v="1"/>
    <n v="27"/>
    <n v="1"/>
    <n v="43.88"/>
    <s v="Mobile_User"/>
    <n v="1.6251851851851853"/>
    <x v="6"/>
    <x v="1"/>
  </r>
  <r>
    <n v="1490309317"/>
    <d v="2017-03-23T00:00:00"/>
    <s v="United States"/>
    <x v="0"/>
    <s v="Mobile"/>
    <s v="Chrome"/>
    <x v="0"/>
    <n v="45"/>
    <n v="1"/>
    <n v="43.96"/>
    <s v="Mobile_User"/>
    <n v="0.97688888888888892"/>
    <x v="4"/>
    <x v="1"/>
  </r>
  <r>
    <n v="1495421113"/>
    <d v="2017-05-21T00:00:00"/>
    <s v="United States"/>
    <x v="17"/>
    <s v="Mobile"/>
    <s v="Safari"/>
    <x v="0"/>
    <n v="20"/>
    <n v="1"/>
    <n v="43.96"/>
    <s v="Mobile_User"/>
    <n v="2.198"/>
    <x v="2"/>
    <x v="1"/>
  </r>
  <r>
    <n v="1479050072"/>
    <d v="2016-11-13T00:00:00"/>
    <s v="United States"/>
    <x v="0"/>
    <s v="Mobile"/>
    <s v="Chrome"/>
    <x v="1"/>
    <n v="18"/>
    <n v="1"/>
    <n v="43.98"/>
    <s v="Mobile_User"/>
    <n v="2.4433333333333334"/>
    <x v="2"/>
    <x v="1"/>
  </r>
  <r>
    <n v="1482379694"/>
    <d v="2016-12-21T00:00:00"/>
    <s v="United States"/>
    <x v="11"/>
    <s v="Mobile"/>
    <s v="Safari"/>
    <x v="1"/>
    <n v="9"/>
    <n v="1"/>
    <n v="43.98"/>
    <s v="Mobile_User"/>
    <n v="4.8866666666666667"/>
    <x v="1"/>
    <x v="1"/>
  </r>
  <r>
    <n v="1472594569"/>
    <d v="2016-08-30T00:00:00"/>
    <s v="United States"/>
    <x v="0"/>
    <s v="Mobile"/>
    <s v="Chrome"/>
    <x v="1"/>
    <n v="27"/>
    <n v="1"/>
    <n v="44.5"/>
    <s v="Mobile_User"/>
    <n v="1.6481481481481481"/>
    <x v="6"/>
    <x v="1"/>
  </r>
  <r>
    <n v="1481980601"/>
    <d v="2016-12-17T00:00:00"/>
    <s v="United States"/>
    <x v="4"/>
    <s v="Mobile"/>
    <s v="Safari"/>
    <x v="1"/>
    <n v="52"/>
    <n v="1"/>
    <n v="44.89"/>
    <s v="Mobile_User"/>
    <n v="0.86326923076923079"/>
    <x v="5"/>
    <x v="1"/>
  </r>
  <r>
    <n v="1486231827"/>
    <d v="2017-02-04T00:00:00"/>
    <s v="United States"/>
    <x v="0"/>
    <s v="Mobile"/>
    <s v="Chrome"/>
    <x v="1"/>
    <n v="31"/>
    <n v="1"/>
    <n v="44.98"/>
    <s v="Mobile_User"/>
    <n v="1.4509677419354838"/>
    <x v="5"/>
    <x v="1"/>
  </r>
  <r>
    <n v="1500679118"/>
    <d v="2017-07-21T00:00:00"/>
    <s v="United States"/>
    <x v="0"/>
    <s v="Mobile"/>
    <s v="Chrome"/>
    <x v="0"/>
    <n v="31"/>
    <n v="1"/>
    <n v="45.43"/>
    <s v="Mobile_User"/>
    <n v="1.465483870967742"/>
    <x v="0"/>
    <x v="1"/>
  </r>
  <r>
    <n v="1472249153"/>
    <d v="2016-08-26T00:00:00"/>
    <s v="United States"/>
    <x v="0"/>
    <s v="Mobile"/>
    <s v="Chrome"/>
    <x v="0"/>
    <n v="31"/>
    <n v="1"/>
    <n v="45.85"/>
    <s v="Mobile_User"/>
    <n v="1.4790322580645161"/>
    <x v="0"/>
    <x v="1"/>
  </r>
  <r>
    <n v="1499201411"/>
    <d v="2017-07-04T00:00:00"/>
    <s v="United States"/>
    <x v="1"/>
    <s v="Mobile"/>
    <s v="Chrome"/>
    <x v="0"/>
    <n v="41"/>
    <n v="1"/>
    <n v="45.96"/>
    <s v="Mobile_User"/>
    <n v="1.1209756097560977"/>
    <x v="6"/>
    <x v="1"/>
  </r>
  <r>
    <n v="1487247308"/>
    <d v="2017-02-16T00:00:00"/>
    <s v="United States"/>
    <x v="0"/>
    <s v="Mobile"/>
    <s v="Safari"/>
    <x v="1"/>
    <n v="42"/>
    <n v="1"/>
    <n v="45.97"/>
    <s v="Mobile_User"/>
    <n v="1.0945238095238095"/>
    <x v="4"/>
    <x v="1"/>
  </r>
  <r>
    <n v="1488736725"/>
    <d v="2017-03-05T00:00:00"/>
    <s v="United States"/>
    <x v="0"/>
    <s v="Mobile"/>
    <s v="Chrome"/>
    <x v="0"/>
    <n v="47"/>
    <n v="1"/>
    <n v="45.98"/>
    <s v="Mobile_User"/>
    <n v="0.97829787234042542"/>
    <x v="2"/>
    <x v="1"/>
  </r>
  <r>
    <n v="1471113712"/>
    <d v="2016-08-13T00:00:00"/>
    <s v="United States"/>
    <x v="0"/>
    <s v="Mobile"/>
    <s v="Safari"/>
    <x v="1"/>
    <n v="15"/>
    <n v="1"/>
    <n v="46.08"/>
    <s v="Mobile_User"/>
    <n v="3.0720000000000001"/>
    <x v="5"/>
    <x v="1"/>
  </r>
  <r>
    <n v="1487249221"/>
    <d v="2017-02-16T00:00:00"/>
    <s v="United States"/>
    <x v="13"/>
    <s v="Mobile"/>
    <s v="Chrome"/>
    <x v="0"/>
    <n v="20"/>
    <n v="1"/>
    <n v="46.48"/>
    <s v="Mobile_User"/>
    <n v="2.3239999999999998"/>
    <x v="4"/>
    <x v="1"/>
  </r>
  <r>
    <n v="1471311526"/>
    <d v="2016-08-15T00:00:00"/>
    <s v="United States"/>
    <x v="0"/>
    <s v="Mobile"/>
    <s v="Safari"/>
    <x v="1"/>
    <n v="30"/>
    <n v="1"/>
    <n v="46.49"/>
    <s v="Mobile_User"/>
    <n v="1.5496666666666667"/>
    <x v="3"/>
    <x v="1"/>
  </r>
  <r>
    <n v="1484710181"/>
    <d v="2017-01-17T00:00:00"/>
    <s v="United States"/>
    <x v="0"/>
    <s v="Mobile"/>
    <s v="Chrome"/>
    <x v="1"/>
    <n v="25"/>
    <n v="1"/>
    <n v="46.95"/>
    <s v="Mobile_User"/>
    <n v="1.8780000000000001"/>
    <x v="6"/>
    <x v="1"/>
  </r>
  <r>
    <n v="1495224769"/>
    <d v="2017-05-19T00:00:00"/>
    <s v="United States"/>
    <x v="0"/>
    <s v="Mobile"/>
    <s v="Safari"/>
    <x v="0"/>
    <n v="28"/>
    <n v="1"/>
    <n v="47.27"/>
    <s v="Mobile_User"/>
    <n v="1.6882142857142859"/>
    <x v="0"/>
    <x v="1"/>
  </r>
  <r>
    <n v="1501258399"/>
    <d v="2017-07-28T00:00:00"/>
    <s v="United States"/>
    <x v="0"/>
    <s v="Mobile"/>
    <s v="Chrome"/>
    <x v="0"/>
    <n v="39"/>
    <n v="1"/>
    <n v="47.27"/>
    <s v="Mobile_User"/>
    <n v="1.2120512820512821"/>
    <x v="0"/>
    <x v="1"/>
  </r>
  <r>
    <n v="1480396009"/>
    <d v="2016-11-28T00:00:00"/>
    <s v="United States"/>
    <x v="11"/>
    <s v="Mobile"/>
    <s v="Internet Explorer"/>
    <x v="1"/>
    <n v="20"/>
    <n v="1"/>
    <n v="48.97"/>
    <s v="Mobile_User"/>
    <n v="2.4485000000000001"/>
    <x v="3"/>
    <x v="1"/>
  </r>
  <r>
    <n v="1477939415"/>
    <d v="2016-10-31T00:00:00"/>
    <s v="United States"/>
    <x v="15"/>
    <s v="Mobile"/>
    <s v="Chrome"/>
    <x v="0"/>
    <n v="23"/>
    <n v="1"/>
    <n v="49.98"/>
    <s v="Mobile_User"/>
    <n v="2.1730434782608694"/>
    <x v="3"/>
    <x v="1"/>
  </r>
  <r>
    <n v="1499304489"/>
    <d v="2017-07-05T00:00:00"/>
    <s v="Canada"/>
    <x v="24"/>
    <s v="Mobile"/>
    <s v="Safari"/>
    <x v="1"/>
    <n v="12"/>
    <n v="1"/>
    <n v="49.98"/>
    <s v="Mobile_User"/>
    <n v="4.165"/>
    <x v="1"/>
    <x v="1"/>
  </r>
  <r>
    <n v="1488494826"/>
    <d v="2017-03-02T00:00:00"/>
    <s v="United States"/>
    <x v="2"/>
    <s v="Mobile"/>
    <s v="Chrome"/>
    <x v="0"/>
    <n v="21"/>
    <n v="2"/>
    <n v="49.99"/>
    <s v="Mobile_User"/>
    <n v="2.3804761904761906"/>
    <x v="4"/>
    <x v="1"/>
  </r>
  <r>
    <n v="1483154347"/>
    <d v="2016-12-30T00:00:00"/>
    <s v="United States"/>
    <x v="2"/>
    <s v="Mobile"/>
    <s v="Chrome"/>
    <x v="1"/>
    <n v="26"/>
    <n v="1"/>
    <n v="50"/>
    <s v="Mobile_User"/>
    <n v="1.9230769230769231"/>
    <x v="0"/>
    <x v="1"/>
  </r>
  <r>
    <n v="1475799987"/>
    <d v="2016-10-06T00:00:00"/>
    <s v="United States"/>
    <x v="8"/>
    <s v="Mobile"/>
    <s v="Chrome"/>
    <x v="1"/>
    <n v="47"/>
    <n v="1"/>
    <n v="50.46"/>
    <s v="Mobile_User"/>
    <n v="1.0736170212765959"/>
    <x v="4"/>
    <x v="1"/>
  </r>
  <r>
    <n v="1487555854"/>
    <d v="2017-02-19T00:00:00"/>
    <s v="Egypt"/>
    <x v="0"/>
    <s v="Mobile"/>
    <s v="Safari"/>
    <x v="0"/>
    <n v="39"/>
    <n v="1"/>
    <n v="50.96"/>
    <s v="Mobile_User"/>
    <n v="1.3066666666666666"/>
    <x v="2"/>
    <x v="1"/>
  </r>
  <r>
    <n v="1478311915"/>
    <d v="2016-11-04T00:00:00"/>
    <s v="United States"/>
    <x v="0"/>
    <s v="Mobile"/>
    <s v="Chrome"/>
    <x v="1"/>
    <n v="18"/>
    <n v="1"/>
    <n v="50.97"/>
    <s v="Mobile_User"/>
    <n v="2.8316666666666666"/>
    <x v="0"/>
    <x v="1"/>
  </r>
  <r>
    <n v="1480379044"/>
    <d v="2016-11-28T00:00:00"/>
    <s v="United States"/>
    <x v="0"/>
    <s v="Mobile"/>
    <s v="Chrome"/>
    <x v="1"/>
    <n v="10"/>
    <n v="1"/>
    <n v="51.99"/>
    <s v="Mobile_User"/>
    <n v="5.1989999999999998"/>
    <x v="3"/>
    <x v="1"/>
  </r>
  <r>
    <n v="1480585718"/>
    <d v="2016-12-01T00:00:00"/>
    <s v="United States"/>
    <x v="1"/>
    <s v="Mobile"/>
    <s v="Chrome"/>
    <x v="1"/>
    <n v="37"/>
    <n v="1"/>
    <n v="51.99"/>
    <s v="Mobile_User"/>
    <n v="1.4051351351351351"/>
    <x v="4"/>
    <x v="1"/>
  </r>
  <r>
    <n v="1476358376"/>
    <d v="2016-10-13T00:00:00"/>
    <s v="United States"/>
    <x v="0"/>
    <s v="Mobile"/>
    <s v="Safari"/>
    <x v="0"/>
    <n v="26"/>
    <n v="1"/>
    <n v="52.96"/>
    <s v="Mobile_User"/>
    <n v="2.0369230769230771"/>
    <x v="4"/>
    <x v="1"/>
  </r>
  <r>
    <n v="1485128773"/>
    <d v="2017-01-22T00:00:00"/>
    <s v="United States"/>
    <x v="2"/>
    <s v="Mobile"/>
    <s v="Chrome"/>
    <x v="1"/>
    <n v="29"/>
    <n v="1"/>
    <n v="52.97"/>
    <s v="Mobile_User"/>
    <n v="1.826551724137931"/>
    <x v="2"/>
    <x v="1"/>
  </r>
  <r>
    <n v="1495863604"/>
    <d v="2017-05-26T00:00:00"/>
    <s v="United States"/>
    <x v="0"/>
    <s v="Mobile"/>
    <s v="Safari"/>
    <x v="1"/>
    <n v="42"/>
    <n v="1"/>
    <n v="53.45"/>
    <s v="Mobile_User"/>
    <n v="1.2726190476190478"/>
    <x v="0"/>
    <x v="1"/>
  </r>
  <r>
    <n v="1487773059"/>
    <d v="2017-02-22T00:00:00"/>
    <s v="United States"/>
    <x v="10"/>
    <s v="Mobile"/>
    <s v="Chrome"/>
    <x v="0"/>
    <n v="25"/>
    <n v="1"/>
    <n v="53.96"/>
    <s v="Mobile_User"/>
    <n v="2.1583999999999999"/>
    <x v="1"/>
    <x v="1"/>
  </r>
  <r>
    <n v="1472175114"/>
    <d v="2016-08-25T00:00:00"/>
    <s v="United States"/>
    <x v="0"/>
    <s v="Mobile"/>
    <s v="Safari"/>
    <x v="0"/>
    <n v="41"/>
    <n v="1"/>
    <n v="54.17"/>
    <s v="Mobile_User"/>
    <n v="1.321219512195122"/>
    <x v="4"/>
    <x v="1"/>
  </r>
  <r>
    <n v="1488612857"/>
    <d v="2017-03-03T00:00:00"/>
    <s v="United States"/>
    <x v="0"/>
    <s v="Mobile"/>
    <s v="Safari"/>
    <x v="1"/>
    <n v="12"/>
    <n v="1"/>
    <n v="54.98"/>
    <s v="Mobile_User"/>
    <n v="4.5816666666666661"/>
    <x v="0"/>
    <x v="1"/>
  </r>
  <r>
    <n v="1480059717"/>
    <d v="2016-11-24T00:00:00"/>
    <s v="United States"/>
    <x v="0"/>
    <s v="Mobile"/>
    <s v="Safari"/>
    <x v="1"/>
    <n v="21"/>
    <n v="1"/>
    <n v="55.99"/>
    <s v="Mobile_User"/>
    <n v="2.6661904761904762"/>
    <x v="4"/>
    <x v="1"/>
  </r>
  <r>
    <n v="1478236842"/>
    <d v="2016-11-03T00:00:00"/>
    <s v="United States"/>
    <x v="0"/>
    <s v="Mobile"/>
    <s v="Chrome"/>
    <x v="1"/>
    <n v="16"/>
    <n v="1"/>
    <n v="55.99"/>
    <s v="Mobile_User"/>
    <n v="3.4993750000000001"/>
    <x v="4"/>
    <x v="1"/>
  </r>
  <r>
    <n v="1481238996"/>
    <d v="2016-12-08T00:00:00"/>
    <s v="United States"/>
    <x v="0"/>
    <s v="Mobile"/>
    <s v="Safari"/>
    <x v="1"/>
    <n v="12"/>
    <n v="1"/>
    <n v="55.99"/>
    <s v="Mobile_User"/>
    <n v="4.6658333333333335"/>
    <x v="4"/>
    <x v="1"/>
  </r>
  <r>
    <n v="1482634609"/>
    <d v="2016-12-24T00:00:00"/>
    <s v="United States"/>
    <x v="0"/>
    <s v="Mobile"/>
    <s v="Chrome"/>
    <x v="0"/>
    <n v="22"/>
    <n v="1"/>
    <n v="55.99"/>
    <s v="Mobile_User"/>
    <n v="2.5449999999999999"/>
    <x v="5"/>
    <x v="1"/>
  </r>
  <r>
    <n v="1480196222"/>
    <d v="2016-11-26T00:00:00"/>
    <s v="United States"/>
    <x v="10"/>
    <s v="Mobile"/>
    <s v="Chrome"/>
    <x v="1"/>
    <n v="21"/>
    <n v="1"/>
    <n v="55.99"/>
    <s v="Mobile_User"/>
    <n v="2.6661904761904762"/>
    <x v="5"/>
    <x v="1"/>
  </r>
  <r>
    <n v="1485903800"/>
    <d v="2017-01-31T00:00:00"/>
    <s v="Germany"/>
    <x v="0"/>
    <s v="Mobile"/>
    <s v="Safari"/>
    <x v="1"/>
    <n v="14"/>
    <n v="1"/>
    <n v="55.99"/>
    <s v="Mobile_User"/>
    <n v="3.9992857142857146"/>
    <x v="6"/>
    <x v="1"/>
  </r>
  <r>
    <n v="1477623161"/>
    <d v="2016-10-27T00:00:00"/>
    <s v="United States"/>
    <x v="0"/>
    <s v="Mobile"/>
    <s v="Safari"/>
    <x v="0"/>
    <n v="26"/>
    <n v="1"/>
    <n v="55.99"/>
    <s v="Mobile_User"/>
    <n v="2.1534615384615385"/>
    <x v="4"/>
    <x v="1"/>
  </r>
  <r>
    <n v="1481479149"/>
    <d v="2016-12-11T00:00:00"/>
    <s v="United States"/>
    <x v="1"/>
    <s v="Mobile"/>
    <s v="Safari"/>
    <x v="1"/>
    <n v="13"/>
    <n v="1"/>
    <n v="55.99"/>
    <s v="Mobile_User"/>
    <n v="4.3069230769230771"/>
    <x v="2"/>
    <x v="1"/>
  </r>
  <r>
    <n v="1475108536"/>
    <d v="2016-09-28T00:00:00"/>
    <s v="United States"/>
    <x v="0"/>
    <s v="Mobile"/>
    <s v="Safari"/>
    <x v="1"/>
    <n v="10"/>
    <n v="1"/>
    <n v="55.99"/>
    <s v="Mobile_User"/>
    <n v="5.5990000000000002"/>
    <x v="1"/>
    <x v="1"/>
  </r>
  <r>
    <n v="1485278846"/>
    <d v="2017-01-24T00:00:00"/>
    <s v="United States"/>
    <x v="0"/>
    <s v="Mobile"/>
    <s v="Safari"/>
    <x v="1"/>
    <n v="25"/>
    <n v="1"/>
    <n v="55.99"/>
    <s v="Mobile_User"/>
    <n v="2.2396000000000003"/>
    <x v="6"/>
    <x v="1"/>
  </r>
  <r>
    <n v="1486322641"/>
    <d v="2017-02-05T00:00:00"/>
    <s v="United States"/>
    <x v="13"/>
    <s v="Mobile"/>
    <s v="Chrome"/>
    <x v="1"/>
    <n v="15"/>
    <n v="1"/>
    <n v="55.99"/>
    <s v="Mobile_User"/>
    <n v="3.7326666666666668"/>
    <x v="2"/>
    <x v="1"/>
  </r>
  <r>
    <n v="1488213318"/>
    <d v="2017-02-27T00:00:00"/>
    <s v="United States"/>
    <x v="32"/>
    <s v="Mobile"/>
    <s v="Chrome"/>
    <x v="0"/>
    <n v="19"/>
    <n v="1"/>
    <n v="55.99"/>
    <s v="Mobile_User"/>
    <n v="2.9468421052631579"/>
    <x v="3"/>
    <x v="1"/>
  </r>
  <r>
    <n v="1492709198"/>
    <d v="2017-04-20T00:00:00"/>
    <s v="United States"/>
    <x v="0"/>
    <s v="Mobile"/>
    <s v="Safari"/>
    <x v="0"/>
    <n v="8"/>
    <n v="1"/>
    <n v="55.99"/>
    <s v="Mobile_User"/>
    <n v="6.9987500000000002"/>
    <x v="4"/>
    <x v="1"/>
  </r>
  <r>
    <n v="1480884349"/>
    <d v="2016-12-04T00:00:00"/>
    <s v="United States"/>
    <x v="10"/>
    <s v="Mobile"/>
    <s v="Chrome"/>
    <x v="1"/>
    <n v="21"/>
    <n v="1"/>
    <n v="55.99"/>
    <s v="Mobile_User"/>
    <n v="2.6661904761904762"/>
    <x v="2"/>
    <x v="1"/>
  </r>
  <r>
    <n v="1485710273"/>
    <d v="2017-01-29T00:00:00"/>
    <s v="United States"/>
    <x v="0"/>
    <s v="Mobile"/>
    <s v="Chrome"/>
    <x v="1"/>
    <n v="23"/>
    <n v="1"/>
    <n v="55.99"/>
    <s v="Mobile_User"/>
    <n v="2.4343478260869564"/>
    <x v="2"/>
    <x v="1"/>
  </r>
  <r>
    <n v="1486777519"/>
    <d v="2017-02-10T00:00:00"/>
    <s v="United States"/>
    <x v="2"/>
    <s v="Mobile"/>
    <s v="Safari"/>
    <x v="0"/>
    <n v="15"/>
    <n v="1"/>
    <n v="55.99"/>
    <s v="Mobile_User"/>
    <n v="3.7326666666666668"/>
    <x v="0"/>
    <x v="1"/>
  </r>
  <r>
    <n v="1481126312"/>
    <d v="2016-12-07T00:00:00"/>
    <s v="United States"/>
    <x v="0"/>
    <s v="Mobile"/>
    <s v="Chrome"/>
    <x v="1"/>
    <n v="17"/>
    <n v="1"/>
    <n v="55.99"/>
    <s v="Mobile_User"/>
    <n v="3.2935294117647058"/>
    <x v="1"/>
    <x v="1"/>
  </r>
  <r>
    <n v="1481588301"/>
    <d v="2016-12-12T00:00:00"/>
    <s v="United States"/>
    <x v="0"/>
    <s v="Mobile"/>
    <s v="Safari"/>
    <x v="1"/>
    <n v="15"/>
    <n v="1"/>
    <n v="55.99"/>
    <s v="Mobile_User"/>
    <n v="3.7326666666666668"/>
    <x v="3"/>
    <x v="1"/>
  </r>
  <r>
    <n v="1499206032"/>
    <d v="2017-07-04T00:00:00"/>
    <s v="United States"/>
    <x v="0"/>
    <s v="Mobile"/>
    <s v="Safari"/>
    <x v="0"/>
    <n v="16"/>
    <n v="1"/>
    <n v="55.99"/>
    <s v="Mobile_User"/>
    <n v="3.4993750000000001"/>
    <x v="6"/>
    <x v="1"/>
  </r>
  <r>
    <n v="1478028507"/>
    <d v="2016-11-01T00:00:00"/>
    <s v="United States"/>
    <x v="0"/>
    <s v="Mobile"/>
    <s v="Chrome"/>
    <x v="1"/>
    <n v="15"/>
    <n v="1"/>
    <n v="55.99"/>
    <s v="Mobile_User"/>
    <n v="3.7326666666666668"/>
    <x v="6"/>
    <x v="1"/>
  </r>
  <r>
    <n v="1488857045"/>
    <d v="2017-03-06T00:00:00"/>
    <s v="United States"/>
    <x v="32"/>
    <s v="Mobile"/>
    <s v="Chrome"/>
    <x v="0"/>
    <n v="14"/>
    <n v="1"/>
    <n v="55.99"/>
    <s v="Mobile_User"/>
    <n v="3.9992857142857146"/>
    <x v="3"/>
    <x v="1"/>
  </r>
  <r>
    <n v="1479826771"/>
    <d v="2016-11-22T00:00:00"/>
    <s v="United States"/>
    <x v="4"/>
    <s v="Mobile"/>
    <s v="Safari"/>
    <x v="1"/>
    <n v="11"/>
    <n v="1"/>
    <n v="55.99"/>
    <s v="Mobile_User"/>
    <n v="5.09"/>
    <x v="6"/>
    <x v="1"/>
  </r>
  <r>
    <n v="1478707641"/>
    <d v="2016-11-09T00:00:00"/>
    <s v="United States"/>
    <x v="4"/>
    <s v="Mobile"/>
    <s v="Chrome"/>
    <x v="1"/>
    <n v="14"/>
    <n v="1"/>
    <n v="55.99"/>
    <s v="Mobile_User"/>
    <n v="3.9992857142857146"/>
    <x v="1"/>
    <x v="1"/>
  </r>
  <r>
    <n v="1488409550"/>
    <d v="2017-03-01T00:00:00"/>
    <s v="United States"/>
    <x v="25"/>
    <s v="Mobile"/>
    <s v="Safari"/>
    <x v="0"/>
    <n v="20"/>
    <n v="1"/>
    <n v="55.99"/>
    <s v="Mobile_User"/>
    <n v="2.7995000000000001"/>
    <x v="1"/>
    <x v="1"/>
  </r>
  <r>
    <n v="1495892360"/>
    <d v="2017-05-27T00:00:00"/>
    <s v="United States"/>
    <x v="4"/>
    <s v="Mobile"/>
    <s v="Safari"/>
    <x v="0"/>
    <n v="19"/>
    <n v="1"/>
    <n v="55.99"/>
    <s v="Mobile_User"/>
    <n v="2.9468421052631579"/>
    <x v="5"/>
    <x v="1"/>
  </r>
  <r>
    <n v="1497595973"/>
    <d v="2017-06-16T00:00:00"/>
    <s v="United States"/>
    <x v="22"/>
    <s v="Mobile"/>
    <s v="Safari"/>
    <x v="1"/>
    <n v="62"/>
    <n v="1"/>
    <n v="56.64"/>
    <s v="Mobile_User"/>
    <n v="0.91354838709677422"/>
    <x v="0"/>
    <x v="1"/>
  </r>
  <r>
    <n v="1481502380"/>
    <d v="2016-12-11T00:00:00"/>
    <s v="United States"/>
    <x v="1"/>
    <s v="Mobile"/>
    <s v="Safari"/>
    <x v="1"/>
    <n v="30"/>
    <n v="1"/>
    <n v="56.96"/>
    <s v="Mobile_User"/>
    <n v="1.8986666666666667"/>
    <x v="2"/>
    <x v="1"/>
  </r>
  <r>
    <n v="1495027160"/>
    <d v="2017-05-17T00:00:00"/>
    <s v="United States"/>
    <x v="2"/>
    <s v="Mobile"/>
    <s v="Safari"/>
    <x v="1"/>
    <n v="19"/>
    <n v="1"/>
    <n v="56.97"/>
    <s v="Mobile_User"/>
    <n v="2.9984210526315791"/>
    <x v="1"/>
    <x v="1"/>
  </r>
  <r>
    <n v="1497120419"/>
    <d v="2017-06-10T00:00:00"/>
    <s v="United States"/>
    <x v="0"/>
    <s v="Mobile"/>
    <s v="Chrome"/>
    <x v="1"/>
    <n v="24"/>
    <n v="1"/>
    <n v="56.97"/>
    <s v="Mobile_User"/>
    <n v="2.3737499999999998"/>
    <x v="5"/>
    <x v="1"/>
  </r>
  <r>
    <n v="1490681306"/>
    <d v="2017-03-27T00:00:00"/>
    <s v="United States"/>
    <x v="0"/>
    <s v="Mobile"/>
    <s v="Safari"/>
    <x v="0"/>
    <n v="18"/>
    <n v="1"/>
    <n v="56.97"/>
    <s v="Mobile_User"/>
    <n v="3.165"/>
    <x v="3"/>
    <x v="1"/>
  </r>
  <r>
    <n v="1499837563"/>
    <d v="2017-07-11T00:00:00"/>
    <s v="United States"/>
    <x v="0"/>
    <s v="Mobile"/>
    <s v="Safari"/>
    <x v="0"/>
    <n v="44"/>
    <n v="1"/>
    <n v="57.03"/>
    <s v="Mobile_User"/>
    <n v="1.2961363636363636"/>
    <x v="6"/>
    <x v="1"/>
  </r>
  <r>
    <n v="1471217464"/>
    <d v="2016-08-14T00:00:00"/>
    <s v="United States"/>
    <x v="0"/>
    <s v="Mobile"/>
    <s v="Chrome"/>
    <x v="0"/>
    <n v="62"/>
    <n v="1"/>
    <n v="57.22"/>
    <s v="Mobile_User"/>
    <n v="0.92290322580645157"/>
    <x v="2"/>
    <x v="1"/>
  </r>
  <r>
    <n v="1497625773"/>
    <d v="2017-06-16T00:00:00"/>
    <s v="United States"/>
    <x v="0"/>
    <s v="Mobile"/>
    <s v="Chrome"/>
    <x v="1"/>
    <n v="26"/>
    <n v="1"/>
    <n v="57.26"/>
    <s v="Mobile_User"/>
    <n v="2.2023076923076923"/>
    <x v="0"/>
    <x v="1"/>
  </r>
  <r>
    <n v="1470842277"/>
    <d v="2016-08-10T00:00:00"/>
    <s v="United States"/>
    <x v="0"/>
    <s v="Mobile"/>
    <s v="Chrome"/>
    <x v="0"/>
    <n v="41"/>
    <n v="1"/>
    <n v="58.24"/>
    <s v="Mobile_User"/>
    <n v="1.4204878048780489"/>
    <x v="1"/>
    <x v="1"/>
  </r>
  <r>
    <n v="1480094582"/>
    <d v="2016-11-25T00:00:00"/>
    <s v="United States"/>
    <x v="18"/>
    <s v="Mobile"/>
    <s v="Chrome"/>
    <x v="1"/>
    <n v="20"/>
    <n v="1"/>
    <n v="58.99"/>
    <s v="Mobile_User"/>
    <n v="2.9495"/>
    <x v="0"/>
    <x v="1"/>
  </r>
  <r>
    <n v="1480997057"/>
    <d v="2016-12-05T00:00:00"/>
    <s v="United States"/>
    <x v="0"/>
    <s v="Mobile"/>
    <s v="Safari"/>
    <x v="1"/>
    <n v="36"/>
    <n v="1"/>
    <n v="59.46"/>
    <s v="Mobile_User"/>
    <n v="1.6516666666666666"/>
    <x v="3"/>
    <x v="1"/>
  </r>
  <r>
    <n v="1474671217"/>
    <d v="2016-09-23T00:00:00"/>
    <s v="United States"/>
    <x v="0"/>
    <s v="Mobile"/>
    <s v="Chrome"/>
    <x v="1"/>
    <n v="23"/>
    <n v="1"/>
    <n v="59.94"/>
    <s v="Mobile_User"/>
    <n v="2.6060869565217391"/>
    <x v="0"/>
    <x v="1"/>
  </r>
  <r>
    <n v="1482451555"/>
    <d v="2016-12-22T00:00:00"/>
    <s v="United States"/>
    <x v="0"/>
    <s v="Mobile"/>
    <s v="Chrome"/>
    <x v="1"/>
    <n v="29"/>
    <n v="1"/>
    <n v="60.97"/>
    <s v="Mobile_User"/>
    <n v="2.1024137931034481"/>
    <x v="4"/>
    <x v="1"/>
  </r>
  <r>
    <n v="1486843110"/>
    <d v="2017-02-11T00:00:00"/>
    <s v="United States"/>
    <x v="13"/>
    <s v="Mobile"/>
    <s v="Safari"/>
    <x v="1"/>
    <n v="36"/>
    <n v="1"/>
    <n v="60.97"/>
    <s v="Mobile_User"/>
    <n v="1.6936111111111112"/>
    <x v="5"/>
    <x v="1"/>
  </r>
  <r>
    <n v="1474400136"/>
    <d v="2016-09-20T00:00:00"/>
    <s v="Saudi Arabia"/>
    <x v="0"/>
    <s v="Mobile"/>
    <s v="Chrome"/>
    <x v="0"/>
    <n v="44"/>
    <n v="1"/>
    <n v="60.97"/>
    <s v="Mobile_User"/>
    <n v="1.3856818181818182"/>
    <x v="6"/>
    <x v="1"/>
  </r>
  <r>
    <n v="1477854668"/>
    <d v="2016-10-30T00:00:00"/>
    <s v="United States"/>
    <x v="0"/>
    <s v="Mobile"/>
    <s v="Chrome"/>
    <x v="0"/>
    <n v="26"/>
    <n v="1"/>
    <n v="60.98"/>
    <s v="Mobile_User"/>
    <n v="2.3453846153846154"/>
    <x v="2"/>
    <x v="1"/>
  </r>
  <r>
    <n v="1471060641"/>
    <d v="2016-08-12T00:00:00"/>
    <s v="United States"/>
    <x v="0"/>
    <s v="Mobile"/>
    <s v="Chrome"/>
    <x v="0"/>
    <n v="11"/>
    <n v="1"/>
    <n v="61.45"/>
    <s v="Mobile_User"/>
    <n v="5.5863636363636369"/>
    <x v="0"/>
    <x v="1"/>
  </r>
  <r>
    <n v="1472681213"/>
    <d v="2016-08-31T00:00:00"/>
    <s v="United States"/>
    <x v="8"/>
    <s v="Mobile"/>
    <s v="Safari"/>
    <x v="0"/>
    <n v="20"/>
    <n v="1"/>
    <n v="61.61"/>
    <s v="Mobile_User"/>
    <n v="3.0804999999999998"/>
    <x v="1"/>
    <x v="1"/>
  </r>
  <r>
    <n v="1473897499"/>
    <d v="2016-09-14T00:00:00"/>
    <s v="United States"/>
    <x v="0"/>
    <s v="Mobile"/>
    <s v="Chrome"/>
    <x v="0"/>
    <n v="17"/>
    <n v="1"/>
    <n v="62.75"/>
    <s v="Mobile_User"/>
    <n v="3.6911764705882355"/>
    <x v="1"/>
    <x v="1"/>
  </r>
  <r>
    <n v="1487129406"/>
    <d v="2017-02-14T00:00:00"/>
    <s v="United States"/>
    <x v="0"/>
    <s v="Mobile"/>
    <s v="Chrome"/>
    <x v="0"/>
    <n v="62"/>
    <n v="1"/>
    <n v="62.92"/>
    <s v="Mobile_User"/>
    <n v="1.0148387096774194"/>
    <x v="6"/>
    <x v="1"/>
  </r>
  <r>
    <n v="1477235659"/>
    <d v="2016-10-23T00:00:00"/>
    <s v="United States"/>
    <x v="10"/>
    <s v="Mobile"/>
    <s v="Chrome"/>
    <x v="1"/>
    <n v="21"/>
    <n v="1"/>
    <n v="62.96"/>
    <s v="Mobile_User"/>
    <n v="2.9980952380952379"/>
    <x v="2"/>
    <x v="1"/>
  </r>
  <r>
    <n v="1470750725"/>
    <d v="2016-08-09T00:00:00"/>
    <s v="United States"/>
    <x v="0"/>
    <s v="Mobile"/>
    <s v="Chrome"/>
    <x v="1"/>
    <n v="18"/>
    <n v="1"/>
    <n v="63.19"/>
    <s v="Mobile_User"/>
    <n v="3.5105555555555554"/>
    <x v="6"/>
    <x v="1"/>
  </r>
  <r>
    <n v="1493234547"/>
    <d v="2017-04-26T00:00:00"/>
    <s v="United States"/>
    <x v="0"/>
    <s v="Mobile"/>
    <s v="Safari"/>
    <x v="0"/>
    <n v="34"/>
    <n v="1"/>
    <n v="63.69"/>
    <s v="Mobile_User"/>
    <n v="1.8732352941176469"/>
    <x v="1"/>
    <x v="1"/>
  </r>
  <r>
    <n v="1486440487"/>
    <d v="2017-02-06T00:00:00"/>
    <s v="United States"/>
    <x v="2"/>
    <s v="Mobile"/>
    <s v="Chrome"/>
    <x v="1"/>
    <n v="43"/>
    <n v="1"/>
    <n v="63.97"/>
    <s v="Mobile_User"/>
    <n v="1.4876744186046511"/>
    <x v="3"/>
    <x v="1"/>
  </r>
  <r>
    <n v="1480941992"/>
    <d v="2016-12-05T00:00:00"/>
    <s v="United States"/>
    <x v="0"/>
    <s v="Mobile"/>
    <s v="Chrome"/>
    <x v="1"/>
    <n v="15"/>
    <n v="1"/>
    <n v="64.87"/>
    <s v="Mobile_User"/>
    <n v="4.3246666666666673"/>
    <x v="3"/>
    <x v="1"/>
  </r>
  <r>
    <n v="1485210885"/>
    <d v="2017-01-23T00:00:00"/>
    <s v="United States"/>
    <x v="8"/>
    <s v="Mobile"/>
    <s v="Safari"/>
    <x v="1"/>
    <n v="48"/>
    <n v="1"/>
    <n v="64.91"/>
    <s v="Mobile_User"/>
    <n v="1.3522916666666667"/>
    <x v="3"/>
    <x v="1"/>
  </r>
  <r>
    <n v="1489654160"/>
    <d v="2017-03-16T00:00:00"/>
    <s v="United States"/>
    <x v="0"/>
    <s v="Mobile"/>
    <s v="Chrome"/>
    <x v="0"/>
    <n v="23"/>
    <n v="1"/>
    <n v="65.09"/>
    <s v="Mobile_User"/>
    <n v="2.83"/>
    <x v="4"/>
    <x v="1"/>
  </r>
  <r>
    <n v="1473277035"/>
    <d v="2016-09-07T00:00:00"/>
    <s v="United States"/>
    <x v="0"/>
    <s v="Mobile"/>
    <s v="Chrome"/>
    <x v="0"/>
    <n v="31"/>
    <n v="1"/>
    <n v="65.47"/>
    <s v="Mobile_User"/>
    <n v="2.1119354838709676"/>
    <x v="1"/>
    <x v="1"/>
  </r>
  <r>
    <n v="1478236905"/>
    <d v="2016-11-03T00:00:00"/>
    <s v="United States"/>
    <x v="1"/>
    <s v="Mobile"/>
    <s v="Chrome"/>
    <x v="1"/>
    <n v="18"/>
    <n v="1"/>
    <n v="65.92"/>
    <s v="Mobile_User"/>
    <n v="3.6622222222222223"/>
    <x v="4"/>
    <x v="1"/>
  </r>
  <r>
    <n v="1486163196"/>
    <d v="2017-02-03T00:00:00"/>
    <s v="United States"/>
    <x v="12"/>
    <s v="Mobile"/>
    <s v="Chrome"/>
    <x v="1"/>
    <n v="48"/>
    <n v="1"/>
    <n v="65.95"/>
    <s v="Mobile_User"/>
    <n v="1.3739583333333334"/>
    <x v="0"/>
    <x v="1"/>
  </r>
  <r>
    <n v="1474063434"/>
    <d v="2016-09-16T00:00:00"/>
    <s v="United States"/>
    <x v="1"/>
    <s v="Mobile"/>
    <s v="Chrome"/>
    <x v="0"/>
    <n v="24"/>
    <n v="1"/>
    <n v="65.959999999999994"/>
    <s v="Mobile_User"/>
    <n v="2.7483333333333331"/>
    <x v="0"/>
    <x v="1"/>
  </r>
  <r>
    <n v="1486193195"/>
    <d v="2017-02-03T00:00:00"/>
    <s v="United States"/>
    <x v="0"/>
    <s v="Mobile"/>
    <s v="Chrome"/>
    <x v="1"/>
    <n v="22"/>
    <n v="1"/>
    <n v="66.98"/>
    <s v="Mobile_User"/>
    <n v="3.0445454545454549"/>
    <x v="0"/>
    <x v="1"/>
  </r>
  <r>
    <n v="1501214230"/>
    <d v="2017-07-27T00:00:00"/>
    <s v="United States"/>
    <x v="12"/>
    <s v="Mobile"/>
    <s v="Chrome"/>
    <x v="0"/>
    <n v="33"/>
    <n v="2"/>
    <n v="68.709999999999994"/>
    <s v="Mobile_User"/>
    <n v="2.082121212121212"/>
    <x v="4"/>
    <x v="1"/>
  </r>
  <r>
    <n v="1472503146"/>
    <d v="2016-08-29T00:00:00"/>
    <s v="United States"/>
    <x v="0"/>
    <s v="Mobile"/>
    <s v="Internet Explorer"/>
    <x v="1"/>
    <n v="11"/>
    <n v="1"/>
    <n v="69.010000000000005"/>
    <s v="Mobile_User"/>
    <n v="6.2736363636363643"/>
    <x v="3"/>
    <x v="1"/>
  </r>
  <r>
    <n v="1478157761"/>
    <d v="2016-11-03T00:00:00"/>
    <s v="United States"/>
    <x v="29"/>
    <s v="Mobile"/>
    <s v="Chrome"/>
    <x v="1"/>
    <n v="11"/>
    <n v="1"/>
    <n v="69.430000000000007"/>
    <s v="Mobile_User"/>
    <n v="6.3118181818181824"/>
    <x v="4"/>
    <x v="1"/>
  </r>
  <r>
    <n v="1492897037"/>
    <d v="2017-04-22T00:00:00"/>
    <s v="United States"/>
    <x v="11"/>
    <s v="Mobile"/>
    <s v="Safari"/>
    <x v="0"/>
    <n v="27"/>
    <n v="1"/>
    <n v="69.48"/>
    <s v="Mobile_User"/>
    <n v="2.5733333333333337"/>
    <x v="5"/>
    <x v="1"/>
  </r>
  <r>
    <n v="1500599629"/>
    <d v="2017-07-20T00:00:00"/>
    <s v="United States"/>
    <x v="0"/>
    <s v="Mobile"/>
    <s v="Chrome"/>
    <x v="0"/>
    <n v="19"/>
    <n v="1"/>
    <n v="69.989999999999995"/>
    <s v="Mobile_User"/>
    <n v="3.6836842105263155"/>
    <x v="4"/>
    <x v="1"/>
  </r>
  <r>
    <n v="1478906412"/>
    <d v="2016-11-11T00:00:00"/>
    <s v="United States"/>
    <x v="0"/>
    <s v="Mobile"/>
    <s v="Chrome"/>
    <x v="1"/>
    <n v="25"/>
    <n v="2"/>
    <n v="69.989999999999995"/>
    <s v="Mobile_User"/>
    <n v="2.7995999999999999"/>
    <x v="0"/>
    <x v="1"/>
  </r>
  <r>
    <n v="1485284049"/>
    <d v="2017-01-24T00:00:00"/>
    <s v="United States"/>
    <x v="0"/>
    <s v="Mobile"/>
    <s v="Safari"/>
    <x v="1"/>
    <n v="16"/>
    <n v="1"/>
    <n v="69.989999999999995"/>
    <s v="Mobile_User"/>
    <n v="4.3743749999999997"/>
    <x v="6"/>
    <x v="1"/>
  </r>
  <r>
    <n v="1471989147"/>
    <d v="2016-08-23T00:00:00"/>
    <s v="United States"/>
    <x v="3"/>
    <s v="Mobile"/>
    <s v="Chrome"/>
    <x v="0"/>
    <n v="28"/>
    <n v="1"/>
    <n v="71.25"/>
    <s v="Mobile_User"/>
    <n v="2.5446428571428572"/>
    <x v="6"/>
    <x v="1"/>
  </r>
  <r>
    <n v="1500182001"/>
    <d v="2017-07-15T00:00:00"/>
    <s v="United States"/>
    <x v="0"/>
    <s v="Mobile"/>
    <s v="Chrome"/>
    <x v="1"/>
    <n v="40"/>
    <n v="1"/>
    <n v="71.56"/>
    <s v="Mobile_User"/>
    <n v="1.7890000000000001"/>
    <x v="5"/>
    <x v="1"/>
  </r>
  <r>
    <n v="1480839715"/>
    <d v="2016-12-04T00:00:00"/>
    <s v="United States"/>
    <x v="2"/>
    <s v="Mobile"/>
    <s v="Safari"/>
    <x v="1"/>
    <n v="22"/>
    <n v="1"/>
    <n v="71.959999999999994"/>
    <s v="Mobile_User"/>
    <n v="3.2709090909090905"/>
    <x v="2"/>
    <x v="1"/>
  </r>
  <r>
    <n v="1495541992"/>
    <d v="2017-05-23T00:00:00"/>
    <s v="United States"/>
    <x v="13"/>
    <s v="Mobile"/>
    <s v="Safari"/>
    <x v="0"/>
    <n v="23"/>
    <n v="1"/>
    <n v="72.27"/>
    <s v="Mobile_User"/>
    <n v="3.1421739130434783"/>
    <x v="6"/>
    <x v="1"/>
  </r>
  <r>
    <n v="1491591668"/>
    <d v="2017-04-07T00:00:00"/>
    <s v="United States"/>
    <x v="0"/>
    <s v="Mobile"/>
    <s v="Safari"/>
    <x v="0"/>
    <n v="12"/>
    <n v="1"/>
    <n v="72.98"/>
    <s v="Mobile_User"/>
    <n v="6.081666666666667"/>
    <x v="0"/>
    <x v="1"/>
  </r>
  <r>
    <n v="1492539797"/>
    <d v="2017-04-18T00:00:00"/>
    <s v="United States"/>
    <x v="0"/>
    <s v="Mobile"/>
    <s v="Safari"/>
    <x v="0"/>
    <n v="16"/>
    <n v="1"/>
    <n v="72.98"/>
    <s v="Mobile_User"/>
    <n v="4.5612500000000002"/>
    <x v="6"/>
    <x v="1"/>
  </r>
  <r>
    <n v="1485914727"/>
    <d v="2017-01-31T00:00:00"/>
    <s v="United States"/>
    <x v="10"/>
    <s v="Mobile"/>
    <s v="Chrome"/>
    <x v="1"/>
    <n v="29"/>
    <n v="1"/>
    <n v="72.98"/>
    <s v="Mobile_User"/>
    <n v="2.5165517241379312"/>
    <x v="6"/>
    <x v="1"/>
  </r>
  <r>
    <n v="1494267757"/>
    <d v="2017-05-08T00:00:00"/>
    <s v="United States"/>
    <x v="11"/>
    <s v="Mobile"/>
    <s v="Safari"/>
    <x v="0"/>
    <n v="27"/>
    <n v="1"/>
    <n v="73.25"/>
    <s v="Mobile_User"/>
    <n v="2.7129629629629628"/>
    <x v="3"/>
    <x v="1"/>
  </r>
  <r>
    <n v="1491707815"/>
    <d v="2017-04-08T00:00:00"/>
    <s v="United States"/>
    <x v="0"/>
    <s v="Mobile"/>
    <s v="Chrome"/>
    <x v="0"/>
    <n v="25"/>
    <n v="1"/>
    <n v="73.959999999999994"/>
    <s v="Mobile_User"/>
    <n v="2.9583999999999997"/>
    <x v="5"/>
    <x v="1"/>
  </r>
  <r>
    <n v="1476728934"/>
    <d v="2016-10-17T00:00:00"/>
    <s v="United States"/>
    <x v="0"/>
    <s v="Mobile"/>
    <s v="Chrome"/>
    <x v="1"/>
    <n v="11"/>
    <n v="1"/>
    <n v="74.989999999999995"/>
    <s v="Mobile_User"/>
    <n v="6.8172727272727265"/>
    <x v="3"/>
    <x v="1"/>
  </r>
  <r>
    <n v="1481061656"/>
    <d v="2016-12-06T00:00:00"/>
    <s v="United States"/>
    <x v="2"/>
    <s v="Mobile"/>
    <s v="Chrome"/>
    <x v="1"/>
    <n v="14"/>
    <n v="1"/>
    <n v="74.989999999999995"/>
    <s v="Mobile_User"/>
    <n v="5.3564285714285713"/>
    <x v="6"/>
    <x v="1"/>
  </r>
  <r>
    <n v="1480821394"/>
    <d v="2016-12-03T00:00:00"/>
    <s v="United States"/>
    <x v="0"/>
    <s v="Mobile"/>
    <s v="Safari"/>
    <x v="1"/>
    <n v="16"/>
    <n v="1"/>
    <n v="74.989999999999995"/>
    <s v="Mobile_User"/>
    <n v="4.6868749999999997"/>
    <x v="5"/>
    <x v="1"/>
  </r>
  <r>
    <n v="1483538997"/>
    <d v="2017-01-04T00:00:00"/>
    <s v="United States"/>
    <x v="0"/>
    <s v="Mobile"/>
    <s v="Chrome"/>
    <x v="1"/>
    <n v="169"/>
    <n v="2"/>
    <n v="74.989999999999995"/>
    <s v="Mobile_User"/>
    <n v="0.44372781065088757"/>
    <x v="1"/>
    <x v="1"/>
  </r>
  <r>
    <n v="1478216221"/>
    <d v="2016-11-03T00:00:00"/>
    <s v="United States"/>
    <x v="0"/>
    <s v="Mobile"/>
    <s v="Chrome"/>
    <x v="1"/>
    <n v="11"/>
    <n v="1"/>
    <n v="74.989999999999995"/>
    <s v="Mobile_User"/>
    <n v="6.8172727272727265"/>
    <x v="4"/>
    <x v="1"/>
  </r>
  <r>
    <n v="1474341988"/>
    <d v="2016-09-19T00:00:00"/>
    <s v="United States"/>
    <x v="31"/>
    <s v="Mobile"/>
    <s v="Chrome"/>
    <x v="0"/>
    <n v="19"/>
    <n v="1"/>
    <n v="76.930000000000007"/>
    <s v="Mobile_User"/>
    <n v="4.0489473684210529"/>
    <x v="3"/>
    <x v="1"/>
  </r>
  <r>
    <n v="1490571224"/>
    <d v="2017-03-26T00:00:00"/>
    <s v="United States"/>
    <x v="0"/>
    <s v="Mobile"/>
    <s v="Chrome"/>
    <x v="0"/>
    <n v="21"/>
    <n v="1"/>
    <n v="76.989999999999995"/>
    <s v="Mobile_User"/>
    <n v="3.6661904761904758"/>
    <x v="2"/>
    <x v="1"/>
  </r>
  <r>
    <n v="1471633553"/>
    <d v="2016-08-19T00:00:00"/>
    <s v="United States"/>
    <x v="0"/>
    <s v="Mobile"/>
    <s v="Chrome"/>
    <x v="1"/>
    <n v="30"/>
    <n v="1"/>
    <n v="77.97"/>
    <s v="Mobile_User"/>
    <n v="2.5989999999999998"/>
    <x v="0"/>
    <x v="1"/>
  </r>
  <r>
    <n v="1488304866"/>
    <d v="2017-02-28T00:00:00"/>
    <s v="United States"/>
    <x v="2"/>
    <s v="Mobile"/>
    <s v="Chrome"/>
    <x v="0"/>
    <n v="50"/>
    <n v="1"/>
    <n v="78.27"/>
    <s v="Mobile_User"/>
    <n v="1.5653999999999999"/>
    <x v="6"/>
    <x v="1"/>
  </r>
  <r>
    <n v="1481161445"/>
    <d v="2016-12-07T00:00:00"/>
    <s v="United States"/>
    <x v="0"/>
    <s v="Mobile"/>
    <s v="Chrome"/>
    <x v="1"/>
    <n v="35"/>
    <n v="1"/>
    <n v="78.94"/>
    <s v="Mobile_User"/>
    <n v="2.2554285714285713"/>
    <x v="1"/>
    <x v="1"/>
  </r>
  <r>
    <n v="1477275044"/>
    <d v="2016-10-23T00:00:00"/>
    <s v="Canada"/>
    <x v="24"/>
    <s v="Mobile"/>
    <s v="Chrome"/>
    <x v="1"/>
    <n v="51"/>
    <n v="1"/>
    <n v="78.95"/>
    <s v="Mobile_User"/>
    <n v="1.5480392156862746"/>
    <x v="2"/>
    <x v="1"/>
  </r>
  <r>
    <n v="1500907610"/>
    <d v="2017-07-24T00:00:00"/>
    <s v="Philippines"/>
    <x v="0"/>
    <s v="Mobile"/>
    <s v="Safari"/>
    <x v="0"/>
    <n v="60"/>
    <n v="1"/>
    <n v="79.16"/>
    <s v="Mobile_User"/>
    <n v="1.3193333333333332"/>
    <x v="3"/>
    <x v="1"/>
  </r>
  <r>
    <n v="1500396244"/>
    <d v="2017-07-18T00:00:00"/>
    <s v="United States"/>
    <x v="0"/>
    <s v="Mobile"/>
    <s v="Safari"/>
    <x v="1"/>
    <n v="37"/>
    <n v="1"/>
    <n v="79.67"/>
    <s v="Mobile_User"/>
    <n v="2.1532432432432431"/>
    <x v="6"/>
    <x v="1"/>
  </r>
  <r>
    <n v="1498515155"/>
    <d v="2017-06-26T00:00:00"/>
    <s v="United States"/>
    <x v="12"/>
    <s v="Mobile"/>
    <s v="Chrome"/>
    <x v="1"/>
    <n v="25"/>
    <n v="1"/>
    <n v="79.930000000000007"/>
    <s v="Mobile_User"/>
    <n v="3.1972000000000005"/>
    <x v="3"/>
    <x v="1"/>
  </r>
  <r>
    <n v="1481289198"/>
    <d v="2016-12-09T00:00:00"/>
    <s v="United States"/>
    <x v="0"/>
    <s v="Mobile"/>
    <s v="Chrome"/>
    <x v="1"/>
    <n v="30"/>
    <n v="1"/>
    <n v="79.959999999999994"/>
    <s v="Mobile_User"/>
    <n v="2.6653333333333333"/>
    <x v="0"/>
    <x v="1"/>
  </r>
  <r>
    <n v="1485369774"/>
    <d v="2017-01-25T00:00:00"/>
    <s v="United States"/>
    <x v="11"/>
    <s v="Mobile"/>
    <s v="Chrome"/>
    <x v="1"/>
    <n v="17"/>
    <n v="1"/>
    <n v="79.98"/>
    <s v="Mobile_User"/>
    <n v="4.7047058823529415"/>
    <x v="1"/>
    <x v="1"/>
  </r>
  <r>
    <n v="1480918675"/>
    <d v="2016-12-04T00:00:00"/>
    <s v="United States"/>
    <x v="0"/>
    <s v="Mobile"/>
    <s v="Chrome"/>
    <x v="1"/>
    <n v="20"/>
    <n v="1"/>
    <n v="80.92"/>
    <s v="Mobile_User"/>
    <n v="4.0460000000000003"/>
    <x v="2"/>
    <x v="1"/>
  </r>
  <r>
    <n v="1480965474"/>
    <d v="2016-12-05T00:00:00"/>
    <s v="United States"/>
    <x v="44"/>
    <s v="Mobile"/>
    <s v="Safari"/>
    <x v="1"/>
    <n v="32"/>
    <n v="1"/>
    <n v="80.959999999999994"/>
    <s v="Mobile_User"/>
    <n v="2.5299999999999998"/>
    <x v="3"/>
    <x v="1"/>
  </r>
  <r>
    <n v="1501474532"/>
    <d v="2017-07-30T00:00:00"/>
    <s v="Canada"/>
    <x v="0"/>
    <s v="Mobile"/>
    <s v="Chrome"/>
    <x v="0"/>
    <n v="73"/>
    <n v="1"/>
    <n v="81.47"/>
    <s v="Mobile_User"/>
    <n v="1.1160273972602739"/>
    <x v="2"/>
    <x v="1"/>
  </r>
  <r>
    <n v="1481251623"/>
    <d v="2016-12-08T00:00:00"/>
    <s v="United States"/>
    <x v="4"/>
    <s v="Mobile"/>
    <s v="Safari"/>
    <x v="1"/>
    <n v="24"/>
    <n v="1"/>
    <n v="81.900000000000006"/>
    <s v="Mobile_User"/>
    <n v="3.4125000000000001"/>
    <x v="4"/>
    <x v="1"/>
  </r>
  <r>
    <n v="1487373098"/>
    <d v="2017-02-17T00:00:00"/>
    <s v="United States"/>
    <x v="13"/>
    <s v="Mobile"/>
    <s v="Chrome"/>
    <x v="0"/>
    <n v="17"/>
    <n v="1"/>
    <n v="83.98"/>
    <s v="Mobile_User"/>
    <n v="4.9400000000000004"/>
    <x v="0"/>
    <x v="1"/>
  </r>
  <r>
    <n v="1495865985"/>
    <d v="2017-05-26T00:00:00"/>
    <s v="United States"/>
    <x v="0"/>
    <s v="Mobile"/>
    <s v="Safari"/>
    <x v="1"/>
    <n v="34"/>
    <n v="1"/>
    <n v="84.06"/>
    <s v="Mobile_User"/>
    <n v="2.4723529411764709"/>
    <x v="0"/>
    <x v="1"/>
  </r>
  <r>
    <n v="1500440588"/>
    <d v="2017-07-18T00:00:00"/>
    <s v="United States"/>
    <x v="0"/>
    <s v="Mobile"/>
    <s v="Safari"/>
    <x v="0"/>
    <n v="26"/>
    <n v="1"/>
    <n v="84.68"/>
    <s v="Mobile_User"/>
    <n v="3.2569230769230773"/>
    <x v="6"/>
    <x v="1"/>
  </r>
  <r>
    <n v="1484719843"/>
    <d v="2017-01-17T00:00:00"/>
    <s v="United States"/>
    <x v="0"/>
    <s v="Mobile"/>
    <s v="Chrome"/>
    <x v="1"/>
    <n v="37"/>
    <n v="1"/>
    <n v="84.92"/>
    <s v="Mobile_User"/>
    <n v="2.2951351351351352"/>
    <x v="6"/>
    <x v="1"/>
  </r>
  <r>
    <n v="1488511939"/>
    <d v="2017-03-02T00:00:00"/>
    <s v="United States"/>
    <x v="47"/>
    <s v="Mobile"/>
    <s v="Safari"/>
    <x v="0"/>
    <n v="36"/>
    <n v="1"/>
    <n v="84.97"/>
    <s v="Mobile_User"/>
    <n v="2.3602777777777777"/>
    <x v="4"/>
    <x v="1"/>
  </r>
  <r>
    <n v="1482196276"/>
    <d v="2016-12-19T00:00:00"/>
    <s v="United States"/>
    <x v="0"/>
    <s v="Mobile"/>
    <s v="Chrome"/>
    <x v="1"/>
    <n v="37"/>
    <n v="1"/>
    <n v="87.09"/>
    <s v="Mobile_User"/>
    <n v="2.3537837837837841"/>
    <x v="3"/>
    <x v="1"/>
  </r>
  <r>
    <n v="1499966251"/>
    <d v="2017-07-13T00:00:00"/>
    <s v="United States"/>
    <x v="0"/>
    <s v="Mobile"/>
    <s v="Safari"/>
    <x v="0"/>
    <n v="33"/>
    <n v="1"/>
    <n v="87.44"/>
    <s v="Mobile_User"/>
    <n v="2.6496969696969694"/>
    <x v="4"/>
    <x v="1"/>
  </r>
  <r>
    <n v="1492040555"/>
    <d v="2017-04-12T00:00:00"/>
    <s v="United States"/>
    <x v="0"/>
    <s v="Mobile"/>
    <s v="Chrome"/>
    <x v="0"/>
    <n v="13"/>
    <n v="1"/>
    <n v="87.96"/>
    <s v="Mobile_User"/>
    <n v="6.7661538461538457"/>
    <x v="1"/>
    <x v="1"/>
  </r>
  <r>
    <n v="1479782919"/>
    <d v="2016-11-21T00:00:00"/>
    <s v="United States"/>
    <x v="0"/>
    <s v="Mobile"/>
    <s v="Chrome"/>
    <x v="1"/>
    <n v="19"/>
    <n v="1"/>
    <n v="88.97"/>
    <s v="Mobile_User"/>
    <n v="4.682631578947368"/>
    <x v="3"/>
    <x v="1"/>
  </r>
  <r>
    <n v="1482123135"/>
    <d v="2016-12-18T00:00:00"/>
    <s v="United States"/>
    <x v="0"/>
    <s v="Mobile"/>
    <s v="Chrome"/>
    <x v="1"/>
    <n v="108"/>
    <n v="1"/>
    <n v="89.47"/>
    <s v="Mobile_User"/>
    <n v="0.8284259259259259"/>
    <x v="2"/>
    <x v="1"/>
  </r>
  <r>
    <n v="1488744261"/>
    <d v="2017-03-05T00:00:00"/>
    <s v="United States"/>
    <x v="0"/>
    <s v="Mobile"/>
    <s v="Safari"/>
    <x v="0"/>
    <n v="82"/>
    <n v="1"/>
    <n v="89.97"/>
    <s v="Mobile_User"/>
    <n v="1.0971951219512195"/>
    <x v="2"/>
    <x v="1"/>
  </r>
  <r>
    <n v="1483045734"/>
    <d v="2016-12-29T00:00:00"/>
    <s v="United States"/>
    <x v="0"/>
    <s v="Mobile"/>
    <s v="Chrome"/>
    <x v="1"/>
    <n v="14"/>
    <n v="1"/>
    <n v="89.99"/>
    <s v="Mobile_User"/>
    <n v="6.4278571428571425"/>
    <x v="4"/>
    <x v="1"/>
  </r>
  <r>
    <n v="1484980553"/>
    <d v="2017-01-20T00:00:00"/>
    <s v="United States"/>
    <x v="0"/>
    <s v="Mobile"/>
    <s v="Safari"/>
    <x v="1"/>
    <n v="20"/>
    <n v="1"/>
    <n v="90.98"/>
    <s v="Mobile_User"/>
    <n v="4.5490000000000004"/>
    <x v="0"/>
    <x v="1"/>
  </r>
  <r>
    <n v="1500525905"/>
    <d v="2017-07-19T00:00:00"/>
    <s v="United States"/>
    <x v="2"/>
    <s v="Mobile"/>
    <s v="Chrome"/>
    <x v="0"/>
    <n v="24"/>
    <n v="1"/>
    <n v="92.46"/>
    <s v="Mobile_User"/>
    <n v="3.8524999999999996"/>
    <x v="1"/>
    <x v="1"/>
  </r>
  <r>
    <n v="1501292650"/>
    <d v="2017-07-28T00:00:00"/>
    <s v="United States"/>
    <x v="44"/>
    <s v="Mobile"/>
    <s v="Chrome"/>
    <x v="0"/>
    <n v="24"/>
    <n v="1"/>
    <n v="94.48"/>
    <s v="Mobile_User"/>
    <n v="3.936666666666667"/>
    <x v="0"/>
    <x v="1"/>
  </r>
  <r>
    <n v="1470634952"/>
    <d v="2016-08-07T00:00:00"/>
    <s v="United States"/>
    <x v="15"/>
    <s v="Mobile"/>
    <s v="Safari"/>
    <x v="0"/>
    <n v="64"/>
    <n v="1"/>
    <n v="95.59"/>
    <s v="Mobile_User"/>
    <n v="1.4935937500000001"/>
    <x v="2"/>
    <x v="1"/>
  </r>
  <r>
    <n v="1491002380"/>
    <d v="2017-03-31T00:00:00"/>
    <s v="United States"/>
    <x v="0"/>
    <s v="Mobile"/>
    <s v="Chrome"/>
    <x v="0"/>
    <n v="34"/>
    <n v="1"/>
    <n v="96.94"/>
    <s v="Mobile_User"/>
    <n v="2.8511764705882352"/>
    <x v="0"/>
    <x v="1"/>
  </r>
  <r>
    <n v="1500432438"/>
    <d v="2017-07-18T00:00:00"/>
    <s v="United States"/>
    <x v="1"/>
    <s v="Mobile"/>
    <s v="Safari"/>
    <x v="0"/>
    <n v="68"/>
    <n v="1"/>
    <n v="99.76"/>
    <s v="Mobile_User"/>
    <n v="1.4670588235294117"/>
    <x v="6"/>
    <x v="1"/>
  </r>
  <r>
    <n v="1479156168"/>
    <d v="2016-11-14T00:00:00"/>
    <s v="United States"/>
    <x v="0"/>
    <s v="Mobile"/>
    <s v="Chrome"/>
    <x v="1"/>
    <n v="12"/>
    <n v="1"/>
    <n v="99.8"/>
    <s v="Mobile_User"/>
    <n v="8.3166666666666664"/>
    <x v="3"/>
    <x v="1"/>
  </r>
  <r>
    <n v="1475237477"/>
    <d v="2016-09-30T00:00:00"/>
    <s v="United States"/>
    <x v="4"/>
    <s v="Mobile"/>
    <s v="Chrome"/>
    <x v="1"/>
    <n v="16"/>
    <n v="1"/>
    <n v="99.99"/>
    <s v="Mobile_User"/>
    <n v="6.2493749999999997"/>
    <x v="0"/>
    <x v="1"/>
  </r>
  <r>
    <n v="1479412220"/>
    <d v="2016-11-17T00:00:00"/>
    <s v="United States"/>
    <x v="4"/>
    <s v="Mobile"/>
    <s v="Chrome"/>
    <x v="1"/>
    <n v="14"/>
    <n v="1"/>
    <n v="99.99"/>
    <s v="Mobile_User"/>
    <n v="7.1421428571428569"/>
    <x v="4"/>
    <x v="1"/>
  </r>
  <r>
    <n v="1479167102"/>
    <d v="2016-11-14T00:00:00"/>
    <s v="United States"/>
    <x v="4"/>
    <s v="Mobile"/>
    <s v="Chrome"/>
    <x v="1"/>
    <n v="17"/>
    <n v="1"/>
    <n v="99.99"/>
    <s v="Mobile_User"/>
    <n v="5.881764705882353"/>
    <x v="3"/>
    <x v="1"/>
  </r>
  <r>
    <n v="1490483332"/>
    <d v="2017-03-25T00:00:00"/>
    <s v="United States"/>
    <x v="0"/>
    <s v="Mobile"/>
    <s v="Chrome"/>
    <x v="0"/>
    <n v="20"/>
    <n v="1"/>
    <n v="99.99"/>
    <s v="Mobile_User"/>
    <n v="4.9994999999999994"/>
    <x v="5"/>
    <x v="1"/>
  </r>
  <r>
    <n v="1493415242"/>
    <d v="2017-04-28T00:00:00"/>
    <s v="United States"/>
    <x v="2"/>
    <s v="Mobile"/>
    <s v="Chrome"/>
    <x v="0"/>
    <n v="24"/>
    <n v="1"/>
    <n v="99.99"/>
    <s v="Mobile_User"/>
    <n v="4.1662499999999998"/>
    <x v="0"/>
    <x v="1"/>
  </r>
  <r>
    <n v="1501297342"/>
    <d v="2017-07-28T00:00:00"/>
    <s v="United States"/>
    <x v="0"/>
    <s v="Mobile"/>
    <s v="Chrome"/>
    <x v="0"/>
    <n v="13"/>
    <n v="1"/>
    <n v="99.99"/>
    <s v="Mobile_User"/>
    <n v="7.6915384615384612"/>
    <x v="0"/>
    <x v="1"/>
  </r>
  <r>
    <n v="1474666115"/>
    <d v="2016-09-23T00:00:00"/>
    <s v="United States"/>
    <x v="1"/>
    <s v="Mobile"/>
    <s v="Safari"/>
    <x v="1"/>
    <n v="8"/>
    <n v="1"/>
    <n v="99.99"/>
    <s v="Mobile_User"/>
    <n v="12.498749999999999"/>
    <x v="0"/>
    <x v="1"/>
  </r>
  <r>
    <n v="1500523118"/>
    <d v="2017-07-19T00:00:00"/>
    <s v="United States"/>
    <x v="0"/>
    <s v="Mobile"/>
    <s v="Safari"/>
    <x v="0"/>
    <n v="31"/>
    <n v="1"/>
    <n v="99.99"/>
    <s v="Mobile_User"/>
    <n v="3.2254838709677416"/>
    <x v="1"/>
    <x v="1"/>
  </r>
  <r>
    <n v="1476297247"/>
    <d v="2016-10-12T00:00:00"/>
    <s v="United States"/>
    <x v="32"/>
    <s v="Mobile"/>
    <s v="Chrome"/>
    <x v="1"/>
    <n v="12"/>
    <n v="1"/>
    <n v="99.99"/>
    <s v="Mobile_User"/>
    <n v="8.3324999999999996"/>
    <x v="1"/>
    <x v="1"/>
  </r>
  <r>
    <n v="1479091468"/>
    <d v="2016-11-13T00:00:00"/>
    <s v="United States"/>
    <x v="11"/>
    <s v="Mobile"/>
    <s v="Internet Explorer"/>
    <x v="1"/>
    <n v="16"/>
    <n v="1"/>
    <n v="99.99"/>
    <s v="Mobile_User"/>
    <n v="6.2493749999999997"/>
    <x v="2"/>
    <x v="1"/>
  </r>
  <r>
    <n v="1492537634"/>
    <d v="2017-04-18T00:00:00"/>
    <s v="United States"/>
    <x v="48"/>
    <s v="Mobile"/>
    <s v="Chrome"/>
    <x v="0"/>
    <n v="12"/>
    <n v="1"/>
    <n v="99.99"/>
    <s v="Mobile_User"/>
    <n v="8.3324999999999996"/>
    <x v="6"/>
    <x v="1"/>
  </r>
  <r>
    <n v="1500600029"/>
    <d v="2017-07-20T00:00:00"/>
    <s v="United States"/>
    <x v="2"/>
    <s v="Mobile"/>
    <s v="Safari"/>
    <x v="0"/>
    <n v="22"/>
    <n v="1"/>
    <n v="99.99"/>
    <s v="Mobile_User"/>
    <n v="4.5449999999999999"/>
    <x v="4"/>
    <x v="1"/>
  </r>
  <r>
    <n v="1494280012"/>
    <d v="2017-05-08T00:00:00"/>
    <s v="United States"/>
    <x v="4"/>
    <s v="Mobile"/>
    <s v="Safari"/>
    <x v="0"/>
    <n v="30"/>
    <n v="1"/>
    <n v="99.99"/>
    <s v="Mobile_User"/>
    <n v="3.3329999999999997"/>
    <x v="3"/>
    <x v="1"/>
  </r>
  <r>
    <n v="1497333616"/>
    <d v="2017-06-12T00:00:00"/>
    <s v="Panama"/>
    <x v="0"/>
    <s v="Mobile"/>
    <s v="Chrome"/>
    <x v="0"/>
    <n v="29"/>
    <n v="1"/>
    <n v="101.23"/>
    <s v="Mobile_User"/>
    <n v="3.4906896551724138"/>
    <x v="3"/>
    <x v="1"/>
  </r>
  <r>
    <n v="1475237408"/>
    <d v="2016-09-30T00:00:00"/>
    <s v="United States"/>
    <x v="49"/>
    <s v="Mobile"/>
    <s v="Chrome"/>
    <x v="1"/>
    <n v="31"/>
    <n v="1"/>
    <n v="101.95"/>
    <s v="Mobile_User"/>
    <n v="3.2887096774193547"/>
    <x v="0"/>
    <x v="1"/>
  </r>
  <r>
    <n v="1485760289"/>
    <d v="2017-01-29T00:00:00"/>
    <s v="United States"/>
    <x v="10"/>
    <s v="Mobile"/>
    <s v="Safari"/>
    <x v="2"/>
    <n v="28"/>
    <n v="1"/>
    <n v="102.93"/>
    <s v="Mobile_User"/>
    <n v="3.6760714285714289"/>
    <x v="2"/>
    <x v="1"/>
  </r>
  <r>
    <n v="1490392519"/>
    <d v="2017-03-24T00:00:00"/>
    <s v="United States"/>
    <x v="0"/>
    <s v="Mobile"/>
    <s v="Chrome"/>
    <x v="0"/>
    <n v="39"/>
    <n v="1"/>
    <n v="102.98"/>
    <s v="Mobile_User"/>
    <n v="2.6405128205128205"/>
    <x v="0"/>
    <x v="1"/>
  </r>
  <r>
    <n v="1498549692"/>
    <d v="2017-06-27T00:00:00"/>
    <s v="Taiwan"/>
    <x v="12"/>
    <s v="Mobile"/>
    <s v="Safari"/>
    <x v="0"/>
    <n v="24"/>
    <n v="1"/>
    <n v="103.93"/>
    <s v="Mobile_User"/>
    <n v="4.3304166666666672"/>
    <x v="6"/>
    <x v="1"/>
  </r>
  <r>
    <n v="1500116803"/>
    <d v="2017-07-15T00:00:00"/>
    <s v="United States"/>
    <x v="0"/>
    <s v="Mobile"/>
    <s v="Chrome"/>
    <x v="1"/>
    <n v="41"/>
    <n v="1"/>
    <n v="104.27"/>
    <s v="Mobile_User"/>
    <n v="2.5431707317073169"/>
    <x v="5"/>
    <x v="1"/>
  </r>
  <r>
    <n v="1473205376"/>
    <d v="2016-09-06T00:00:00"/>
    <s v="United States"/>
    <x v="0"/>
    <s v="Mobile"/>
    <s v="Chrome"/>
    <x v="0"/>
    <n v="26"/>
    <n v="1"/>
    <n v="106.49"/>
    <s v="Mobile_User"/>
    <n v="4.0957692307692302"/>
    <x v="6"/>
    <x v="1"/>
  </r>
  <r>
    <n v="1471099383"/>
    <d v="2016-08-13T00:00:00"/>
    <s v="United States"/>
    <x v="0"/>
    <s v="Mobile"/>
    <s v="Chrome"/>
    <x v="0"/>
    <n v="48"/>
    <n v="1"/>
    <n v="109.45"/>
    <s v="Mobile_User"/>
    <n v="2.2802083333333334"/>
    <x v="5"/>
    <x v="1"/>
  </r>
  <r>
    <n v="1491593538"/>
    <d v="2017-04-07T00:00:00"/>
    <s v="United States"/>
    <x v="0"/>
    <s v="Mobile"/>
    <s v="Chrome"/>
    <x v="1"/>
    <n v="11"/>
    <n v="1"/>
    <n v="109.98"/>
    <s v="Mobile_User"/>
    <n v="9.9981818181818181"/>
    <x v="0"/>
    <x v="1"/>
  </r>
  <r>
    <n v="1496330803"/>
    <d v="2017-06-01T00:00:00"/>
    <s v="United States"/>
    <x v="32"/>
    <s v="Mobile"/>
    <s v="Chrome"/>
    <x v="1"/>
    <n v="11"/>
    <n v="1"/>
    <n v="109.98"/>
    <s v="Mobile_User"/>
    <n v="9.9981818181818181"/>
    <x v="4"/>
    <x v="1"/>
  </r>
  <r>
    <n v="1486231965"/>
    <d v="2017-02-04T00:00:00"/>
    <s v="United States"/>
    <x v="0"/>
    <s v="Mobile"/>
    <s v="Chrome"/>
    <x v="1"/>
    <n v="30"/>
    <n v="1"/>
    <n v="109.99"/>
    <s v="Mobile_User"/>
    <n v="3.6663333333333332"/>
    <x v="5"/>
    <x v="1"/>
  </r>
  <r>
    <n v="1480906875"/>
    <d v="2016-12-04T00:00:00"/>
    <s v="United States"/>
    <x v="2"/>
    <s v="Mobile"/>
    <s v="Chrome"/>
    <x v="1"/>
    <n v="17"/>
    <n v="1"/>
    <n v="109.99"/>
    <s v="Mobile_User"/>
    <n v="6.47"/>
    <x v="2"/>
    <x v="1"/>
  </r>
  <r>
    <n v="1484627305"/>
    <d v="2017-01-16T00:00:00"/>
    <s v="United States"/>
    <x v="1"/>
    <s v="Mobile"/>
    <s v="Safari"/>
    <x v="1"/>
    <n v="39"/>
    <n v="1"/>
    <n v="110.97"/>
    <s v="Mobile_User"/>
    <n v="2.8453846153846154"/>
    <x v="3"/>
    <x v="1"/>
  </r>
  <r>
    <n v="1491311638"/>
    <d v="2017-04-04T00:00:00"/>
    <s v="United States"/>
    <x v="19"/>
    <s v="Mobile"/>
    <s v="Chrome"/>
    <x v="0"/>
    <n v="22"/>
    <n v="1"/>
    <n v="110.98"/>
    <s v="Mobile_User"/>
    <n v="5.0445454545454549"/>
    <x v="6"/>
    <x v="1"/>
  </r>
  <r>
    <n v="1477745041"/>
    <d v="2016-10-29T00:00:00"/>
    <s v="United States"/>
    <x v="10"/>
    <s v="Mobile"/>
    <s v="Safari"/>
    <x v="1"/>
    <n v="33"/>
    <n v="1"/>
    <n v="114.68"/>
    <s v="Mobile_User"/>
    <n v="3.4751515151515155"/>
    <x v="5"/>
    <x v="1"/>
  </r>
  <r>
    <n v="1486506278"/>
    <d v="2017-02-07T00:00:00"/>
    <s v="United States"/>
    <x v="0"/>
    <s v="Mobile"/>
    <s v="Chrome"/>
    <x v="1"/>
    <n v="33"/>
    <n v="1"/>
    <n v="114.98"/>
    <s v="Mobile_User"/>
    <n v="3.4842424242424244"/>
    <x v="6"/>
    <x v="1"/>
  </r>
  <r>
    <n v="1500762892"/>
    <d v="2017-07-22T00:00:00"/>
    <s v="United States"/>
    <x v="2"/>
    <s v="Mobile"/>
    <s v="Chrome"/>
    <x v="0"/>
    <n v="33"/>
    <n v="1"/>
    <n v="115.9"/>
    <s v="Mobile_User"/>
    <n v="3.5121212121212122"/>
    <x v="5"/>
    <x v="1"/>
  </r>
  <r>
    <n v="1472832496"/>
    <d v="2016-09-02T00:00:00"/>
    <s v="United States"/>
    <x v="2"/>
    <s v="Mobile"/>
    <s v="Safari"/>
    <x v="0"/>
    <n v="20"/>
    <n v="1"/>
    <n v="117.34"/>
    <s v="Mobile_User"/>
    <n v="5.867"/>
    <x v="0"/>
    <x v="1"/>
  </r>
  <r>
    <n v="1481944367"/>
    <d v="2016-12-16T00:00:00"/>
    <s v="United States"/>
    <x v="15"/>
    <s v="Mobile"/>
    <s v="Safari"/>
    <x v="1"/>
    <n v="9"/>
    <n v="1"/>
    <n v="118.97"/>
    <s v="Mobile_User"/>
    <n v="13.218888888888889"/>
    <x v="0"/>
    <x v="1"/>
  </r>
  <r>
    <n v="1497879938"/>
    <d v="2017-06-19T00:00:00"/>
    <s v="United States"/>
    <x v="10"/>
    <s v="Mobile"/>
    <s v="Safari"/>
    <x v="1"/>
    <n v="13"/>
    <n v="1"/>
    <n v="119.8"/>
    <s v="Mobile_User"/>
    <n v="9.2153846153846146"/>
    <x v="3"/>
    <x v="1"/>
  </r>
  <r>
    <n v="1492223915"/>
    <d v="2017-04-14T00:00:00"/>
    <s v="United States"/>
    <x v="15"/>
    <s v="Mobile"/>
    <s v="Chrome"/>
    <x v="0"/>
    <n v="33"/>
    <n v="1"/>
    <n v="119.97"/>
    <s v="Mobile_User"/>
    <n v="3.6354545454545453"/>
    <x v="0"/>
    <x v="1"/>
  </r>
  <r>
    <n v="1483645909"/>
    <d v="2017-01-05T00:00:00"/>
    <s v="United States"/>
    <x v="11"/>
    <s v="Mobile"/>
    <s v="Chrome"/>
    <x v="1"/>
    <n v="48"/>
    <n v="1"/>
    <n v="120.94"/>
    <s v="Mobile_User"/>
    <n v="2.5195833333333333"/>
    <x v="4"/>
    <x v="1"/>
  </r>
  <r>
    <n v="1497534823"/>
    <d v="2017-06-15T00:00:00"/>
    <s v="United States"/>
    <x v="39"/>
    <s v="Mobile"/>
    <s v="Safari"/>
    <x v="0"/>
    <n v="29"/>
    <n v="1"/>
    <n v="124.93"/>
    <s v="Mobile_User"/>
    <n v="4.3079310344827588"/>
    <x v="4"/>
    <x v="1"/>
  </r>
  <r>
    <n v="1491589158"/>
    <d v="2017-04-07T00:00:00"/>
    <s v="United States"/>
    <x v="2"/>
    <s v="Mobile"/>
    <s v="Safari"/>
    <x v="0"/>
    <n v="22"/>
    <n v="1"/>
    <n v="125.75"/>
    <s v="Mobile_User"/>
    <n v="5.7159090909090908"/>
    <x v="0"/>
    <x v="1"/>
  </r>
  <r>
    <n v="1473736928"/>
    <d v="2016-09-12T00:00:00"/>
    <s v="United States"/>
    <x v="0"/>
    <s v="Mobile"/>
    <s v="Safari"/>
    <x v="1"/>
    <n v="51"/>
    <n v="1"/>
    <n v="126.06"/>
    <s v="Mobile_User"/>
    <n v="2.4717647058823529"/>
    <x v="3"/>
    <x v="1"/>
  </r>
  <r>
    <n v="1494449146"/>
    <d v="2017-05-10T00:00:00"/>
    <s v="United States"/>
    <x v="15"/>
    <s v="Mobile"/>
    <s v="Safari"/>
    <x v="0"/>
    <n v="36"/>
    <n v="1"/>
    <n v="129.19999999999999"/>
    <s v="Mobile_User"/>
    <n v="3.5888888888888886"/>
    <x v="1"/>
    <x v="1"/>
  </r>
  <r>
    <n v="1489126113"/>
    <d v="2017-03-09T00:00:00"/>
    <s v="United States"/>
    <x v="0"/>
    <s v="Mobile"/>
    <s v="Safari"/>
    <x v="0"/>
    <n v="104"/>
    <n v="1"/>
    <n v="132.44999999999999"/>
    <s v="Mobile_User"/>
    <n v="1.2735576923076921"/>
    <x v="4"/>
    <x v="1"/>
  </r>
  <r>
    <n v="1493311392"/>
    <d v="2017-04-27T00:00:00"/>
    <s v="United States"/>
    <x v="0"/>
    <s v="Mobile"/>
    <s v="Chrome"/>
    <x v="1"/>
    <n v="33"/>
    <n v="1"/>
    <n v="133.96"/>
    <s v="Mobile_User"/>
    <n v="4.0593939393939396"/>
    <x v="4"/>
    <x v="1"/>
  </r>
  <r>
    <n v="1479485888"/>
    <d v="2016-11-18T00:00:00"/>
    <s v="United States"/>
    <x v="0"/>
    <s v="Mobile"/>
    <s v="Chrome"/>
    <x v="1"/>
    <n v="67"/>
    <n v="1"/>
    <n v="136.57"/>
    <s v="Mobile_User"/>
    <n v="2.0383582089552239"/>
    <x v="0"/>
    <x v="1"/>
  </r>
  <r>
    <n v="1497367077"/>
    <d v="2017-06-13T00:00:00"/>
    <s v="United States"/>
    <x v="0"/>
    <s v="Mobile"/>
    <s v="Safari"/>
    <x v="1"/>
    <n v="30"/>
    <n v="1"/>
    <n v="137.65"/>
    <s v="Mobile_User"/>
    <n v="4.5883333333333338"/>
    <x v="6"/>
    <x v="1"/>
  </r>
  <r>
    <n v="1494713884"/>
    <d v="2017-05-13T00:00:00"/>
    <s v="United States"/>
    <x v="0"/>
    <s v="Mobile"/>
    <s v="Chrome"/>
    <x v="0"/>
    <n v="8"/>
    <n v="1"/>
    <n v="145.99"/>
    <s v="Mobile_User"/>
    <n v="18.248750000000001"/>
    <x v="5"/>
    <x v="1"/>
  </r>
  <r>
    <n v="1494098097"/>
    <d v="2017-05-06T00:00:00"/>
    <s v="United States"/>
    <x v="0"/>
    <s v="Mobile"/>
    <s v="Chrome"/>
    <x v="1"/>
    <n v="13"/>
    <n v="1"/>
    <n v="151.78"/>
    <s v="Mobile_User"/>
    <n v="11.675384615384615"/>
    <x v="5"/>
    <x v="1"/>
  </r>
  <r>
    <n v="1483471853"/>
    <d v="2017-01-03T00:00:00"/>
    <s v="United States"/>
    <x v="0"/>
    <s v="Mobile"/>
    <s v="Chrome"/>
    <x v="1"/>
    <n v="42"/>
    <n v="1"/>
    <n v="153.93"/>
    <s v="Mobile_User"/>
    <n v="3.665"/>
    <x v="6"/>
    <x v="1"/>
  </r>
  <r>
    <n v="1484861545"/>
    <d v="2017-01-19T00:00:00"/>
    <s v="United States"/>
    <x v="0"/>
    <s v="Mobile"/>
    <s v="Chrome"/>
    <x v="1"/>
    <n v="24"/>
    <n v="1"/>
    <n v="154.97"/>
    <s v="Mobile_User"/>
    <n v="6.4570833333333333"/>
    <x v="4"/>
    <x v="1"/>
  </r>
  <r>
    <n v="1492566096"/>
    <d v="2017-04-18T00:00:00"/>
    <s v="United States"/>
    <x v="39"/>
    <s v="Mobile"/>
    <s v="Safari"/>
    <x v="0"/>
    <n v="18"/>
    <n v="1"/>
    <n v="157.41"/>
    <s v="Mobile_User"/>
    <n v="8.7449999999999992"/>
    <x v="6"/>
    <x v="1"/>
  </r>
  <r>
    <n v="1484309224"/>
    <d v="2017-01-13T00:00:00"/>
    <s v="United States"/>
    <x v="0"/>
    <s v="Mobile"/>
    <s v="Chrome"/>
    <x v="1"/>
    <n v="26"/>
    <n v="1"/>
    <n v="167.97"/>
    <s v="Mobile_User"/>
    <n v="6.4603846153846156"/>
    <x v="0"/>
    <x v="1"/>
  </r>
  <r>
    <n v="1481317525"/>
    <d v="2016-12-09T00:00:00"/>
    <s v="United States"/>
    <x v="0"/>
    <s v="Mobile"/>
    <s v="Chrome"/>
    <x v="1"/>
    <n v="84"/>
    <n v="1"/>
    <n v="168.73"/>
    <s v="Mobile_User"/>
    <n v="2.008690476190476"/>
    <x v="0"/>
    <x v="1"/>
  </r>
  <r>
    <n v="1479276952"/>
    <d v="2016-11-15T00:00:00"/>
    <s v="United States"/>
    <x v="0"/>
    <s v="Mobile"/>
    <s v="Chrome"/>
    <x v="1"/>
    <n v="17"/>
    <n v="1"/>
    <n v="173.98"/>
    <s v="Mobile_User"/>
    <n v="10.234117647058824"/>
    <x v="6"/>
    <x v="1"/>
  </r>
  <r>
    <n v="1494107906"/>
    <d v="2017-05-06T00:00:00"/>
    <s v="United States"/>
    <x v="0"/>
    <s v="Mobile"/>
    <s v="Chrome"/>
    <x v="0"/>
    <n v="26"/>
    <n v="1"/>
    <n v="184.41"/>
    <s v="Mobile_User"/>
    <n v="7.0926923076923076"/>
    <x v="5"/>
    <x v="1"/>
  </r>
  <r>
    <n v="1472229792"/>
    <d v="2016-08-26T00:00:00"/>
    <s v="United States"/>
    <x v="0"/>
    <s v="Mobile"/>
    <s v="Chrome"/>
    <x v="0"/>
    <n v="64"/>
    <n v="1"/>
    <n v="204.42"/>
    <s v="Mobile_User"/>
    <n v="3.1940624999999998"/>
    <x v="0"/>
    <x v="2"/>
  </r>
  <r>
    <n v="1484770141"/>
    <d v="2017-01-18T00:00:00"/>
    <s v="United States"/>
    <x v="15"/>
    <s v="Mobile"/>
    <s v="Chrome"/>
    <x v="0"/>
    <n v="30"/>
    <n v="1"/>
    <n v="213.94"/>
    <s v="Mobile_User"/>
    <n v="7.1313333333333331"/>
    <x v="1"/>
    <x v="2"/>
  </r>
  <r>
    <n v="1489523809"/>
    <d v="2017-03-14T00:00:00"/>
    <s v="United States"/>
    <x v="0"/>
    <s v="Mobile"/>
    <s v="Chrome"/>
    <x v="0"/>
    <n v="20"/>
    <n v="1"/>
    <n v="224.97"/>
    <s v="Mobile_User"/>
    <n v="11.2485"/>
    <x v="6"/>
    <x v="2"/>
  </r>
  <r>
    <n v="1486827374"/>
    <d v="2017-02-11T00:00:00"/>
    <s v="United States"/>
    <x v="0"/>
    <s v="Mobile"/>
    <s v="Safari"/>
    <x v="1"/>
    <n v="33"/>
    <n v="1"/>
    <n v="249.9"/>
    <s v="Mobile_User"/>
    <n v="7.5727272727272732"/>
    <x v="5"/>
    <x v="2"/>
  </r>
  <r>
    <n v="1483148696"/>
    <d v="2016-12-30T00:00:00"/>
    <s v="United States"/>
    <x v="2"/>
    <s v="Mobile"/>
    <s v="Chrome"/>
    <x v="1"/>
    <n v="27"/>
    <n v="1"/>
    <n v="250"/>
    <s v="Mobile_User"/>
    <n v="9.2592592592592595"/>
    <x v="0"/>
    <x v="2"/>
  </r>
  <r>
    <n v="1498059715"/>
    <d v="2017-06-21T00:00:00"/>
    <s v="United States"/>
    <x v="13"/>
    <s v="Mobile"/>
    <s v="Chrome"/>
    <x v="1"/>
    <n v="13"/>
    <n v="1"/>
    <n v="299.97000000000003"/>
    <s v="Mobile_User"/>
    <n v="23.074615384615388"/>
    <x v="1"/>
    <x v="2"/>
  </r>
  <r>
    <n v="1480617117"/>
    <d v="2016-12-01T00:00:00"/>
    <s v="Malaysia"/>
    <x v="40"/>
    <s v="Mobile"/>
    <s v="Safari"/>
    <x v="1"/>
    <n v="36"/>
    <n v="1"/>
    <n v="334.93"/>
    <s v="Mobile_User"/>
    <n v="9.3036111111111115"/>
    <x v="4"/>
    <x v="2"/>
  </r>
  <r>
    <n v="1494619899"/>
    <d v="2017-05-12T00:00:00"/>
    <s v="United States"/>
    <x v="0"/>
    <s v="Mobile"/>
    <s v="Chrome"/>
    <x v="1"/>
    <n v="11"/>
    <n v="1"/>
    <n v="339.6"/>
    <s v="Mobile_User"/>
    <n v="30.872727272727275"/>
    <x v="0"/>
    <x v="2"/>
  </r>
  <r>
    <n v="1481313113"/>
    <d v="2016-12-09T00:00:00"/>
    <s v="United States"/>
    <x v="0"/>
    <s v="Mobile"/>
    <s v="Chrome"/>
    <x v="1"/>
    <n v="18"/>
    <n v="1"/>
    <n v="350"/>
    <s v="Mobile_User"/>
    <n v="19.444444444444443"/>
    <x v="0"/>
    <x v="2"/>
  </r>
  <r>
    <n v="1476837799"/>
    <d v="2016-10-18T00:00:00"/>
    <s v="United States"/>
    <x v="0"/>
    <s v="Mobile"/>
    <s v="Chrome"/>
    <x v="1"/>
    <n v="33"/>
    <n v="1"/>
    <n v="368.1"/>
    <s v="Mobile_User"/>
    <n v="11.154545454545456"/>
    <x v="6"/>
    <x v="2"/>
  </r>
  <r>
    <n v="1498678549"/>
    <d v="2017-06-28T00:00:00"/>
    <s v="United States"/>
    <x v="0"/>
    <s v="Mobile"/>
    <s v="Safari"/>
    <x v="1"/>
    <n v="37"/>
    <n v="1"/>
    <n v="450.63"/>
    <s v="Mobile_User"/>
    <n v="12.17918918918919"/>
    <x v="1"/>
    <x v="2"/>
  </r>
  <r>
    <n v="1476810770"/>
    <d v="2016-10-18T00:00:00"/>
    <s v="United States"/>
    <x v="32"/>
    <s v="Mobile"/>
    <s v="Chrome"/>
    <x v="1"/>
    <n v="49"/>
    <n v="1"/>
    <n v="454.91"/>
    <s v="Mobile_User"/>
    <n v="9.2838775510204083"/>
    <x v="6"/>
    <x v="2"/>
  </r>
  <r>
    <n v="1479915109"/>
    <d v="2016-11-23T00:00:00"/>
    <s v="United States"/>
    <x v="0"/>
    <s v="Mobile"/>
    <s v="Chrome"/>
    <x v="1"/>
    <n v="9"/>
    <n v="1"/>
    <n v="483.55"/>
    <s v="Mobile_User"/>
    <n v="53.727777777777781"/>
    <x v="1"/>
    <x v="2"/>
  </r>
  <r>
    <n v="1488353173"/>
    <d v="2017-02-28T00:00:00"/>
    <s v="United States"/>
    <x v="0"/>
    <s v="Mobile"/>
    <s v="Chrome"/>
    <x v="1"/>
    <n v="28"/>
    <n v="2"/>
    <n v="509.7"/>
    <s v="Mobile_User"/>
    <n v="18.203571428571429"/>
    <x v="6"/>
    <x v="2"/>
  </r>
  <r>
    <n v="1477587889"/>
    <d v="2016-10-27T00:00:00"/>
    <s v="United States"/>
    <x v="11"/>
    <s v="Mobile"/>
    <s v="Chrome"/>
    <x v="1"/>
    <n v="47"/>
    <n v="1"/>
    <n v="510.01"/>
    <s v="Mobile_User"/>
    <n v="10.851276595744681"/>
    <x v="4"/>
    <x v="2"/>
  </r>
  <r>
    <n v="1476874130"/>
    <d v="2016-10-19T00:00:00"/>
    <s v="United States"/>
    <x v="1"/>
    <s v="Mobile"/>
    <s v="Chrome"/>
    <x v="1"/>
    <n v="75"/>
    <n v="1"/>
    <n v="523.39"/>
    <s v="Mobile_User"/>
    <n v="6.978533333333333"/>
    <x v="1"/>
    <x v="2"/>
  </r>
  <r>
    <n v="1491020230"/>
    <d v="2017-03-31T00:00:00"/>
    <s v="United States"/>
    <x v="1"/>
    <s v="Mobile"/>
    <s v="Chrome"/>
    <x v="1"/>
    <n v="36"/>
    <n v="2"/>
    <n v="544.08000000000004"/>
    <s v="Mobile_User"/>
    <n v="15.113333333333335"/>
    <x v="0"/>
    <x v="2"/>
  </r>
  <r>
    <n v="1482036130"/>
    <d v="2016-12-17T00:00:00"/>
    <s v="United States"/>
    <x v="1"/>
    <s v="Mobile"/>
    <s v="Chrome"/>
    <x v="1"/>
    <n v="49"/>
    <n v="2"/>
    <n v="548.99"/>
    <s v="Mobile_User"/>
    <n v="11.203877551020408"/>
    <x v="5"/>
    <x v="2"/>
  </r>
  <r>
    <n v="1476830455"/>
    <d v="2016-10-18T00:00:00"/>
    <s v="United States"/>
    <x v="0"/>
    <s v="Mobile"/>
    <s v="Chrome"/>
    <x v="1"/>
    <n v="35"/>
    <n v="1"/>
    <n v="620.30999999999995"/>
    <s v="Mobile_User"/>
    <n v="17.723142857142857"/>
    <x v="6"/>
    <x v="2"/>
  </r>
  <r>
    <n v="1481048217"/>
    <d v="2016-12-06T00:00:00"/>
    <s v="United States"/>
    <x v="2"/>
    <s v="Mobile"/>
    <s v="Safari"/>
    <x v="1"/>
    <n v="19"/>
    <n v="1"/>
    <n v="624.75"/>
    <s v="Mobile_User"/>
    <n v="32.881578947368418"/>
    <x v="6"/>
    <x v="2"/>
  </r>
  <r>
    <n v="1501561533"/>
    <d v="2017-07-31T00:00:00"/>
    <s v="United States"/>
    <x v="13"/>
    <s v="Mobile"/>
    <s v="Chrome"/>
    <x v="1"/>
    <n v="40"/>
    <n v="1"/>
    <n v="629.82000000000005"/>
    <s v="Mobile_User"/>
    <n v="15.745500000000002"/>
    <x v="3"/>
    <x v="2"/>
  </r>
  <r>
    <n v="1501544540"/>
    <d v="2017-07-31T00:00:00"/>
    <s v="United States"/>
    <x v="11"/>
    <s v="Mobile"/>
    <s v="Chrome"/>
    <x v="1"/>
    <n v="28"/>
    <n v="1"/>
    <n v="647.6"/>
    <s v="Mobile_User"/>
    <n v="23.12857142857143"/>
    <x v="3"/>
    <x v="2"/>
  </r>
  <r>
    <n v="1479932305"/>
    <d v="2016-11-23T00:00:00"/>
    <s v="United States"/>
    <x v="11"/>
    <s v="Mobile"/>
    <s v="Chrome"/>
    <x v="1"/>
    <n v="35"/>
    <n v="1"/>
    <n v="657.6"/>
    <s v="Mobile_User"/>
    <n v="18.78857142857143"/>
    <x v="1"/>
    <x v="2"/>
  </r>
  <r>
    <n v="1476463143"/>
    <d v="2016-10-14T00:00:00"/>
    <s v="United States"/>
    <x v="11"/>
    <s v="Mobile"/>
    <s v="Chrome"/>
    <x v="1"/>
    <n v="75"/>
    <n v="1"/>
    <n v="663.6"/>
    <s v="Mobile_User"/>
    <n v="8.8480000000000008"/>
    <x v="0"/>
    <x v="2"/>
  </r>
  <r>
    <n v="1488326462"/>
    <d v="2017-02-28T00:00:00"/>
    <s v="United States"/>
    <x v="11"/>
    <s v="Mobile"/>
    <s v="Chrome"/>
    <x v="1"/>
    <n v="36"/>
    <n v="1"/>
    <n v="672.6"/>
    <s v="Mobile_User"/>
    <n v="18.683333333333334"/>
    <x v="6"/>
    <x v="2"/>
  </r>
  <r>
    <n v="1479485405"/>
    <d v="2016-11-18T00:00:00"/>
    <s v="United States"/>
    <x v="1"/>
    <s v="Mobile"/>
    <s v="Chrome"/>
    <x v="1"/>
    <n v="58"/>
    <n v="1"/>
    <n v="728.2"/>
    <s v="Mobile_User"/>
    <n v="12.555172413793104"/>
    <x v="0"/>
    <x v="2"/>
  </r>
  <r>
    <n v="1500921199"/>
    <d v="2017-07-24T00:00:00"/>
    <s v="United States"/>
    <x v="13"/>
    <s v="Mobile"/>
    <s v="Chrome"/>
    <x v="0"/>
    <n v="21"/>
    <n v="1"/>
    <n v="789.08"/>
    <s v="Mobile_User"/>
    <n v="37.575238095238099"/>
    <x v="3"/>
    <x v="2"/>
  </r>
  <r>
    <n v="1501451230"/>
    <d v="2017-07-30T00:00:00"/>
    <s v="United States"/>
    <x v="0"/>
    <s v="Mobile"/>
    <s v="Chrome"/>
    <x v="1"/>
    <n v="63"/>
    <n v="1"/>
    <n v="911.36"/>
    <s v="Mobile_User"/>
    <n v="14.466031746031746"/>
    <x v="2"/>
    <x v="2"/>
  </r>
  <r>
    <n v="1493840797"/>
    <d v="2017-05-03T00:00:00"/>
    <s v="United States"/>
    <x v="11"/>
    <s v="Mobile"/>
    <s v="Chrome"/>
    <x v="1"/>
    <n v="21"/>
    <n v="1"/>
    <n v="930.05"/>
    <s v="Mobile_User"/>
    <n v="44.288095238095238"/>
    <x v="1"/>
    <x v="2"/>
  </r>
  <r>
    <n v="1484846550"/>
    <d v="2017-01-19T00:00:00"/>
    <s v="United States"/>
    <x v="0"/>
    <s v="Mobile"/>
    <s v="Chrome"/>
    <x v="1"/>
    <n v="66"/>
    <n v="1"/>
    <n v="1034.55"/>
    <s v="Mobile_User"/>
    <n v="15.674999999999999"/>
    <x v="4"/>
    <x v="2"/>
  </r>
  <r>
    <n v="1484000933"/>
    <d v="2017-01-09T00:00:00"/>
    <s v="United States"/>
    <x v="11"/>
    <s v="Mobile"/>
    <s v="Chrome"/>
    <x v="1"/>
    <n v="69"/>
    <n v="1"/>
    <n v="1101.9000000000001"/>
    <s v="Mobile_User"/>
    <n v="15.969565217391306"/>
    <x v="3"/>
    <x v="2"/>
  </r>
  <r>
    <n v="1484290624"/>
    <d v="2017-01-12T00:00:00"/>
    <s v="United States"/>
    <x v="0"/>
    <s v="Mobile"/>
    <s v="Chrome"/>
    <x v="1"/>
    <n v="34"/>
    <n v="1"/>
    <n v="1137.3499999999999"/>
    <s v="Mobile_User"/>
    <n v="33.451470588235289"/>
    <x v="4"/>
    <x v="2"/>
  </r>
  <r>
    <n v="1476919377"/>
    <d v="2016-10-19T00:00:00"/>
    <s v="United States"/>
    <x v="10"/>
    <s v="Mobile"/>
    <s v="Chrome"/>
    <x v="1"/>
    <n v="60"/>
    <n v="1"/>
    <n v="1167.79"/>
    <s v="Mobile_User"/>
    <n v="19.463166666666666"/>
    <x v="1"/>
    <x v="2"/>
  </r>
  <r>
    <n v="1480563847"/>
    <d v="2016-11-30T00:00:00"/>
    <s v="United States"/>
    <x v="1"/>
    <s v="Mobile"/>
    <s v="Chrome"/>
    <x v="1"/>
    <n v="28"/>
    <n v="1"/>
    <n v="1295"/>
    <s v="Mobile_User"/>
    <n v="46.25"/>
    <x v="1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629889-6F78-4E76-BE6D-43D2B13D9B13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0:B18" firstHeaderRow="1" firstDataRow="1" firstDataCol="1"/>
  <pivotFields count="14">
    <pivotField showAll="0"/>
    <pivotField numFmtId="14" showAll="0"/>
    <pivotField showAll="0"/>
    <pivotField showAll="0"/>
    <pivotField showAll="0"/>
    <pivotField showAll="0"/>
    <pivotField showAll="0"/>
    <pivotField numFmtId="1" showAll="0"/>
    <pivotField numFmtId="1" showAll="0"/>
    <pivotField dataField="1" numFmtId="164" showAll="0"/>
    <pivotField showAll="0"/>
    <pivotField numFmtId="164" showAll="0"/>
    <pivotField axis="axisRow" showAll="0">
      <items count="8">
        <item x="3"/>
        <item x="6"/>
        <item x="1"/>
        <item x="4"/>
        <item x="0"/>
        <item x="5"/>
        <item x="2"/>
        <item t="default"/>
      </items>
    </pivotField>
    <pivotField showAll="0"/>
  </pivotFields>
  <rowFields count="1">
    <field x="1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Revenue" fld="9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46C57E-C4ED-4836-8ABF-48D34C5121EF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7" firstHeaderRow="0" firstDataRow="1" firstDataCol="1"/>
  <pivotFields count="14">
    <pivotField showAll="0"/>
    <pivotField numFmtId="14"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numFmtId="1" showAll="0"/>
    <pivotField dataField="1" numFmtId="1" showAll="0"/>
    <pivotField dataField="1" numFmtId="164" showAll="0"/>
    <pivotField showAll="0"/>
    <pivotField numFmtId="164" showAll="0"/>
    <pivotField showAll="0"/>
    <pivotField showAll="0"/>
  </pivotFields>
  <rowFields count="1">
    <field x="6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ransaction" fld="8" baseField="0" baseItem="0" numFmtId="1"/>
    <dataField name="Sum of Revenue" fld="9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8A9E4F-24CB-4AD1-A1C1-00876EAFDE08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75:B79" firstHeaderRow="1" firstDataRow="1" firstDataCol="1"/>
  <pivotFields count="14">
    <pivotField showAll="0"/>
    <pivotField numFmtId="14" showAll="0"/>
    <pivotField showAll="0"/>
    <pivotField showAll="0"/>
    <pivotField showAll="0"/>
    <pivotField showAll="0"/>
    <pivotField showAll="0"/>
    <pivotField numFmtId="1" showAll="0"/>
    <pivotField dataField="1" numFmtId="1" showAll="0"/>
    <pivotField numFmtId="164" showAll="0"/>
    <pivotField showAll="0"/>
    <pivotField numFmtId="164" showAll="0"/>
    <pivotField showAll="0"/>
    <pivotField axis="axisRow" showAll="0">
      <items count="4">
        <item x="2"/>
        <item x="0"/>
        <item x="1"/>
        <item t="default"/>
      </items>
    </pivotField>
  </pivotFields>
  <rowFields count="1">
    <field x="1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ransaction" fld="8" baseField="0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05D8E7-DE3B-468E-BEBB-B981337D2B6D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1:B72" firstHeaderRow="1" firstDataRow="1" firstDataCol="1"/>
  <pivotFields count="14">
    <pivotField showAll="0"/>
    <pivotField numFmtId="14" showAll="0"/>
    <pivotField showAll="0"/>
    <pivotField axis="axisRow" showAll="0">
      <items count="51">
        <item x="12"/>
        <item x="20"/>
        <item x="35"/>
        <item x="8"/>
        <item x="5"/>
        <item x="41"/>
        <item x="28"/>
        <item x="6"/>
        <item x="48"/>
        <item x="42"/>
        <item x="9"/>
        <item x="10"/>
        <item x="37"/>
        <item x="18"/>
        <item x="44"/>
        <item x="21"/>
        <item x="34"/>
        <item x="29"/>
        <item x="13"/>
        <item x="43"/>
        <item x="33"/>
        <item x="23"/>
        <item x="47"/>
        <item x="40"/>
        <item x="1"/>
        <item x="38"/>
        <item x="31"/>
        <item x="19"/>
        <item x="36"/>
        <item x="22"/>
        <item x="4"/>
        <item x="49"/>
        <item x="45"/>
        <item x="27"/>
        <item x="39"/>
        <item x="25"/>
        <item x="7"/>
        <item x="30"/>
        <item x="14"/>
        <item x="32"/>
        <item x="2"/>
        <item x="15"/>
        <item x="46"/>
        <item x="11"/>
        <item x="17"/>
        <item x="26"/>
        <item x="16"/>
        <item x="24"/>
        <item x="0"/>
        <item x="3"/>
        <item t="default"/>
      </items>
    </pivotField>
    <pivotField showAll="0"/>
    <pivotField showAll="0"/>
    <pivotField showAll="0"/>
    <pivotField numFmtId="1" showAll="0"/>
    <pivotField numFmtId="1" showAll="0"/>
    <pivotField dataField="1" numFmtId="164" showAll="0"/>
    <pivotField showAll="0"/>
    <pivotField numFmtId="164" showAll="0"/>
    <pivotField showAll="0"/>
    <pivotField showAll="0"/>
  </pivotFields>
  <rowFields count="1">
    <field x="3"/>
  </rowFields>
  <rowItems count="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 t="grand">
      <x/>
    </i>
  </rowItems>
  <colItems count="1">
    <i/>
  </colItems>
  <dataFields count="1">
    <dataField name="Sum of Revenue" fld="9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423CE-A243-46C6-A7F9-69A17D241B4A}">
  <dimension ref="A1:N826"/>
  <sheetViews>
    <sheetView tabSelected="1" workbookViewId="0">
      <selection activeCell="J13" sqref="J13"/>
    </sheetView>
  </sheetViews>
  <sheetFormatPr defaultRowHeight="14.5" x14ac:dyDescent="0.35"/>
  <cols>
    <col min="1" max="1" width="17.1796875" customWidth="1"/>
    <col min="2" max="2" width="21.81640625" customWidth="1"/>
    <col min="3" max="3" width="13.90625" customWidth="1"/>
    <col min="4" max="4" width="26.54296875" customWidth="1"/>
    <col min="5" max="5" width="16.90625" customWidth="1"/>
    <col min="6" max="6" width="12" customWidth="1"/>
    <col min="7" max="7" width="19.08984375" customWidth="1"/>
    <col min="8" max="8" width="13" style="2" customWidth="1"/>
    <col min="9" max="9" width="13.08984375" style="2" customWidth="1"/>
    <col min="10" max="10" width="13.08984375" style="3" customWidth="1"/>
    <col min="11" max="11" width="13.81640625" customWidth="1"/>
    <col min="12" max="12" width="21.36328125" customWidth="1"/>
    <col min="13" max="13" width="14.1796875" customWidth="1"/>
    <col min="14" max="14" width="16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7</v>
      </c>
      <c r="I1" s="2" t="s">
        <v>8</v>
      </c>
      <c r="J1" s="3" t="s">
        <v>9</v>
      </c>
      <c r="K1" t="s">
        <v>10</v>
      </c>
      <c r="L1" t="s">
        <v>93</v>
      </c>
      <c r="M1" t="s">
        <v>94</v>
      </c>
      <c r="N1" t="s">
        <v>95</v>
      </c>
    </row>
    <row r="2" spans="1:14" x14ac:dyDescent="0.35">
      <c r="A2">
        <v>1471650648</v>
      </c>
      <c r="B2" s="1">
        <v>42601</v>
      </c>
      <c r="C2" t="s">
        <v>11</v>
      </c>
      <c r="D2" t="s">
        <v>87</v>
      </c>
      <c r="E2" t="s">
        <v>89</v>
      </c>
      <c r="F2" t="s">
        <v>12</v>
      </c>
      <c r="G2" t="s">
        <v>90</v>
      </c>
      <c r="H2" s="2">
        <v>34</v>
      </c>
      <c r="I2" s="2">
        <v>1</v>
      </c>
      <c r="J2" s="3">
        <v>0.04</v>
      </c>
      <c r="K2" t="s">
        <v>13</v>
      </c>
      <c r="L2" s="3">
        <f>J2/H2</f>
        <v>1.1764705882352942E-3</v>
      </c>
      <c r="M2" t="str">
        <f>TEXT(B2, "dddd")</f>
        <v>Friday</v>
      </c>
      <c r="N2" t="str">
        <f>IF(J2&gt;200,"High",IF(J2&gt;=20,"Medium","Low"))</f>
        <v>Low</v>
      </c>
    </row>
    <row r="3" spans="1:14" x14ac:dyDescent="0.35">
      <c r="A3">
        <v>1471470275</v>
      </c>
      <c r="B3" s="1">
        <v>42599</v>
      </c>
      <c r="C3" t="s">
        <v>11</v>
      </c>
      <c r="D3" t="s">
        <v>87</v>
      </c>
      <c r="E3" t="s">
        <v>89</v>
      </c>
      <c r="F3" t="s">
        <v>12</v>
      </c>
      <c r="G3" t="s">
        <v>91</v>
      </c>
      <c r="H3" s="2">
        <v>21</v>
      </c>
      <c r="I3" s="2">
        <v>1</v>
      </c>
      <c r="J3" s="3">
        <v>1.47</v>
      </c>
      <c r="K3" t="s">
        <v>13</v>
      </c>
      <c r="L3" s="3">
        <f t="shared" ref="L3:L66" si="0">J3/H3</f>
        <v>6.9999999999999993E-2</v>
      </c>
      <c r="M3" t="str">
        <f t="shared" ref="M3:M66" si="1">TEXT(B3, "dddd")</f>
        <v>Wednesday</v>
      </c>
      <c r="N3" t="str">
        <f t="shared" ref="N3:N66" si="2">IF(J3&gt;200,"High",IF(J3&gt;=20,"Medium","Low"))</f>
        <v>Low</v>
      </c>
    </row>
    <row r="4" spans="1:14" x14ac:dyDescent="0.35">
      <c r="A4">
        <v>1486618960</v>
      </c>
      <c r="B4" s="1">
        <v>42774</v>
      </c>
      <c r="C4" t="s">
        <v>11</v>
      </c>
      <c r="D4" t="s">
        <v>14</v>
      </c>
      <c r="E4" t="s">
        <v>89</v>
      </c>
      <c r="F4" t="s">
        <v>12</v>
      </c>
      <c r="G4" t="s">
        <v>91</v>
      </c>
      <c r="H4" s="2">
        <v>18</v>
      </c>
      <c r="I4" s="2">
        <v>1</v>
      </c>
      <c r="J4" s="3">
        <v>1.5</v>
      </c>
      <c r="K4" t="s">
        <v>13</v>
      </c>
      <c r="L4" s="3">
        <f t="shared" si="0"/>
        <v>8.3333333333333329E-2</v>
      </c>
      <c r="M4" t="str">
        <f t="shared" si="1"/>
        <v>Wednesday</v>
      </c>
      <c r="N4" t="str">
        <f t="shared" si="2"/>
        <v>Low</v>
      </c>
    </row>
    <row r="5" spans="1:14" x14ac:dyDescent="0.35">
      <c r="A5">
        <v>1488148550</v>
      </c>
      <c r="B5" s="1">
        <v>42792</v>
      </c>
      <c r="C5" t="s">
        <v>11</v>
      </c>
      <c r="D5" t="s">
        <v>87</v>
      </c>
      <c r="E5" t="s">
        <v>89</v>
      </c>
      <c r="F5" t="s">
        <v>12</v>
      </c>
      <c r="G5" t="s">
        <v>90</v>
      </c>
      <c r="H5" s="2">
        <v>18</v>
      </c>
      <c r="I5" s="2">
        <v>1</v>
      </c>
      <c r="J5" s="3">
        <v>1.5</v>
      </c>
      <c r="K5" t="s">
        <v>13</v>
      </c>
      <c r="L5" s="3">
        <f t="shared" si="0"/>
        <v>8.3333333333333329E-2</v>
      </c>
      <c r="M5" t="str">
        <f t="shared" si="1"/>
        <v>Sunday</v>
      </c>
      <c r="N5" t="str">
        <f t="shared" si="2"/>
        <v>Low</v>
      </c>
    </row>
    <row r="6" spans="1:14" x14ac:dyDescent="0.35">
      <c r="A6">
        <v>1496679022</v>
      </c>
      <c r="B6" s="1">
        <v>42891</v>
      </c>
      <c r="C6" t="s">
        <v>11</v>
      </c>
      <c r="D6" t="s">
        <v>87</v>
      </c>
      <c r="E6" t="s">
        <v>89</v>
      </c>
      <c r="F6" t="s">
        <v>12</v>
      </c>
      <c r="G6" t="s">
        <v>90</v>
      </c>
      <c r="H6" s="2">
        <v>14</v>
      </c>
      <c r="I6" s="2">
        <v>1</v>
      </c>
      <c r="J6" s="3">
        <v>1.5</v>
      </c>
      <c r="K6" t="s">
        <v>13</v>
      </c>
      <c r="L6" s="3">
        <f t="shared" si="0"/>
        <v>0.10714285714285714</v>
      </c>
      <c r="M6" t="str">
        <f t="shared" si="1"/>
        <v>Monday</v>
      </c>
      <c r="N6" t="str">
        <f t="shared" si="2"/>
        <v>Low</v>
      </c>
    </row>
    <row r="7" spans="1:14" x14ac:dyDescent="0.35">
      <c r="A7">
        <v>1475118694</v>
      </c>
      <c r="B7" s="1">
        <v>42641</v>
      </c>
      <c r="C7" t="s">
        <v>11</v>
      </c>
      <c r="D7" t="s">
        <v>87</v>
      </c>
      <c r="E7" t="s">
        <v>89</v>
      </c>
      <c r="F7" t="s">
        <v>12</v>
      </c>
      <c r="G7" t="s">
        <v>91</v>
      </c>
      <c r="H7" s="2">
        <v>11</v>
      </c>
      <c r="I7" s="2">
        <v>1</v>
      </c>
      <c r="J7" s="3">
        <v>1.5</v>
      </c>
      <c r="K7" t="s">
        <v>13</v>
      </c>
      <c r="L7" s="3">
        <f t="shared" si="0"/>
        <v>0.13636363636363635</v>
      </c>
      <c r="M7" t="str">
        <f t="shared" si="1"/>
        <v>Wednesday</v>
      </c>
      <c r="N7" t="str">
        <f t="shared" si="2"/>
        <v>Low</v>
      </c>
    </row>
    <row r="8" spans="1:14" x14ac:dyDescent="0.35">
      <c r="A8">
        <v>1476025969</v>
      </c>
      <c r="B8" s="1">
        <v>42652</v>
      </c>
      <c r="C8" t="s">
        <v>11</v>
      </c>
      <c r="D8" t="s">
        <v>15</v>
      </c>
      <c r="E8" t="s">
        <v>89</v>
      </c>
      <c r="F8" t="s">
        <v>16</v>
      </c>
      <c r="G8" t="s">
        <v>91</v>
      </c>
      <c r="H8" s="2">
        <v>19</v>
      </c>
      <c r="I8" s="2">
        <v>1</v>
      </c>
      <c r="J8" s="3">
        <v>1.99</v>
      </c>
      <c r="K8" t="s">
        <v>13</v>
      </c>
      <c r="L8" s="3">
        <f t="shared" si="0"/>
        <v>0.10473684210526316</v>
      </c>
      <c r="M8" t="str">
        <f t="shared" si="1"/>
        <v>Sunday</v>
      </c>
      <c r="N8" t="str">
        <f t="shared" si="2"/>
        <v>Low</v>
      </c>
    </row>
    <row r="9" spans="1:14" x14ac:dyDescent="0.35">
      <c r="A9">
        <v>1490774311</v>
      </c>
      <c r="B9" s="1">
        <v>42823</v>
      </c>
      <c r="C9" t="s">
        <v>11</v>
      </c>
      <c r="D9" t="s">
        <v>14</v>
      </c>
      <c r="E9" t="s">
        <v>89</v>
      </c>
      <c r="F9" t="s">
        <v>16</v>
      </c>
      <c r="G9" t="s">
        <v>91</v>
      </c>
      <c r="H9" s="2">
        <v>20</v>
      </c>
      <c r="I9" s="2">
        <v>1</v>
      </c>
      <c r="J9" s="3">
        <v>1.99</v>
      </c>
      <c r="K9" t="s">
        <v>13</v>
      </c>
      <c r="L9" s="3">
        <f t="shared" si="0"/>
        <v>9.9500000000000005E-2</v>
      </c>
      <c r="M9" t="str">
        <f t="shared" si="1"/>
        <v>Wednesday</v>
      </c>
      <c r="N9" t="str">
        <f t="shared" si="2"/>
        <v>Low</v>
      </c>
    </row>
    <row r="10" spans="1:14" x14ac:dyDescent="0.35">
      <c r="A10">
        <v>1490206990</v>
      </c>
      <c r="B10" s="1">
        <v>42816</v>
      </c>
      <c r="C10" t="s">
        <v>11</v>
      </c>
      <c r="D10" t="s">
        <v>87</v>
      </c>
      <c r="E10" t="s">
        <v>89</v>
      </c>
      <c r="F10" t="s">
        <v>16</v>
      </c>
      <c r="G10" t="s">
        <v>91</v>
      </c>
      <c r="H10" s="2">
        <v>11</v>
      </c>
      <c r="I10" s="2">
        <v>1</v>
      </c>
      <c r="J10" s="3">
        <v>1.99</v>
      </c>
      <c r="K10" t="s">
        <v>13</v>
      </c>
      <c r="L10" s="3">
        <f t="shared" si="0"/>
        <v>0.18090909090909091</v>
      </c>
      <c r="M10" t="str">
        <f t="shared" si="1"/>
        <v>Wednesday</v>
      </c>
      <c r="N10" t="str">
        <f t="shared" si="2"/>
        <v>Low</v>
      </c>
    </row>
    <row r="11" spans="1:14" x14ac:dyDescent="0.35">
      <c r="A11">
        <v>1499974599</v>
      </c>
      <c r="B11" s="1">
        <v>42929</v>
      </c>
      <c r="C11" t="s">
        <v>11</v>
      </c>
      <c r="D11" t="s">
        <v>17</v>
      </c>
      <c r="E11" t="s">
        <v>89</v>
      </c>
      <c r="F11" t="s">
        <v>12</v>
      </c>
      <c r="G11" t="s">
        <v>90</v>
      </c>
      <c r="H11" s="2">
        <v>12</v>
      </c>
      <c r="I11" s="2">
        <v>1</v>
      </c>
      <c r="J11" s="3">
        <v>1.99</v>
      </c>
      <c r="K11" t="s">
        <v>13</v>
      </c>
      <c r="L11" s="3">
        <f t="shared" si="0"/>
        <v>0.16583333333333333</v>
      </c>
      <c r="M11" t="str">
        <f t="shared" si="1"/>
        <v>Thursday</v>
      </c>
      <c r="N11" t="str">
        <f t="shared" si="2"/>
        <v>Low</v>
      </c>
    </row>
    <row r="12" spans="1:14" x14ac:dyDescent="0.35">
      <c r="A12">
        <v>1492881759</v>
      </c>
      <c r="B12" s="1">
        <v>42847</v>
      </c>
      <c r="C12" t="s">
        <v>11</v>
      </c>
      <c r="D12" t="s">
        <v>14</v>
      </c>
      <c r="E12" t="s">
        <v>89</v>
      </c>
      <c r="F12" t="s">
        <v>12</v>
      </c>
      <c r="G12" t="s">
        <v>90</v>
      </c>
      <c r="H12" s="2">
        <v>18</v>
      </c>
      <c r="I12" s="2">
        <v>1</v>
      </c>
      <c r="J12" s="3">
        <v>1.99</v>
      </c>
      <c r="K12" t="s">
        <v>13</v>
      </c>
      <c r="L12" s="3">
        <f t="shared" si="0"/>
        <v>0.11055555555555556</v>
      </c>
      <c r="M12" t="str">
        <f t="shared" si="1"/>
        <v>Saturday</v>
      </c>
      <c r="N12" t="str">
        <f t="shared" si="2"/>
        <v>Low</v>
      </c>
    </row>
    <row r="13" spans="1:14" x14ac:dyDescent="0.35">
      <c r="A13">
        <v>1477596206</v>
      </c>
      <c r="B13" s="1">
        <v>42670</v>
      </c>
      <c r="C13" t="s">
        <v>11</v>
      </c>
      <c r="D13" t="s">
        <v>15</v>
      </c>
      <c r="E13" t="s">
        <v>89</v>
      </c>
      <c r="F13" t="s">
        <v>16</v>
      </c>
      <c r="G13" t="s">
        <v>90</v>
      </c>
      <c r="H13" s="2">
        <v>17</v>
      </c>
      <c r="I13" s="2">
        <v>1</v>
      </c>
      <c r="J13" s="3">
        <v>1.99</v>
      </c>
      <c r="K13" t="s">
        <v>13</v>
      </c>
      <c r="L13" s="3">
        <f t="shared" si="0"/>
        <v>0.11705882352941177</v>
      </c>
      <c r="M13" t="str">
        <f t="shared" si="1"/>
        <v>Thursday</v>
      </c>
      <c r="N13" t="str">
        <f t="shared" si="2"/>
        <v>Low</v>
      </c>
    </row>
    <row r="14" spans="1:14" x14ac:dyDescent="0.35">
      <c r="A14">
        <v>1492211756</v>
      </c>
      <c r="B14" s="1">
        <v>42839</v>
      </c>
      <c r="C14" t="s">
        <v>11</v>
      </c>
      <c r="D14" t="s">
        <v>87</v>
      </c>
      <c r="E14" t="s">
        <v>89</v>
      </c>
      <c r="F14" t="s">
        <v>12</v>
      </c>
      <c r="G14" t="s">
        <v>91</v>
      </c>
      <c r="H14" s="2">
        <v>14</v>
      </c>
      <c r="I14" s="2">
        <v>1</v>
      </c>
      <c r="J14" s="3">
        <v>1.99</v>
      </c>
      <c r="K14" t="s">
        <v>13</v>
      </c>
      <c r="L14" s="3">
        <f t="shared" si="0"/>
        <v>0.14214285714285715</v>
      </c>
      <c r="M14" t="str">
        <f t="shared" si="1"/>
        <v>Friday</v>
      </c>
      <c r="N14" t="str">
        <f t="shared" si="2"/>
        <v>Low</v>
      </c>
    </row>
    <row r="15" spans="1:14" x14ac:dyDescent="0.35">
      <c r="A15">
        <v>1482976271</v>
      </c>
      <c r="B15" s="1">
        <v>42732</v>
      </c>
      <c r="C15" t="s">
        <v>11</v>
      </c>
      <c r="D15" t="s">
        <v>18</v>
      </c>
      <c r="E15" t="s">
        <v>89</v>
      </c>
      <c r="F15" t="s">
        <v>12</v>
      </c>
      <c r="G15" t="s">
        <v>90</v>
      </c>
      <c r="H15" s="2">
        <v>38</v>
      </c>
      <c r="I15" s="2">
        <v>1</v>
      </c>
      <c r="J15" s="3">
        <v>1.99</v>
      </c>
      <c r="K15" t="s">
        <v>13</v>
      </c>
      <c r="L15" s="3">
        <f t="shared" si="0"/>
        <v>5.2368421052631578E-2</v>
      </c>
      <c r="M15" t="str">
        <f t="shared" si="1"/>
        <v>Wednesday</v>
      </c>
      <c r="N15" t="str">
        <f t="shared" si="2"/>
        <v>Low</v>
      </c>
    </row>
    <row r="16" spans="1:14" x14ac:dyDescent="0.35">
      <c r="A16">
        <v>1496331073</v>
      </c>
      <c r="B16" s="1">
        <v>42887</v>
      </c>
      <c r="C16" t="s">
        <v>11</v>
      </c>
      <c r="D16" t="s">
        <v>87</v>
      </c>
      <c r="E16" t="s">
        <v>89</v>
      </c>
      <c r="F16" t="s">
        <v>12</v>
      </c>
      <c r="G16" t="s">
        <v>91</v>
      </c>
      <c r="H16" s="2">
        <v>32</v>
      </c>
      <c r="I16" s="2">
        <v>1</v>
      </c>
      <c r="J16" s="3">
        <v>1.99</v>
      </c>
      <c r="K16" t="s">
        <v>13</v>
      </c>
      <c r="L16" s="3">
        <f t="shared" si="0"/>
        <v>6.21875E-2</v>
      </c>
      <c r="M16" t="str">
        <f t="shared" si="1"/>
        <v>Thursday</v>
      </c>
      <c r="N16" t="str">
        <f t="shared" si="2"/>
        <v>Low</v>
      </c>
    </row>
    <row r="17" spans="1:14" x14ac:dyDescent="0.35">
      <c r="A17">
        <v>1491324524</v>
      </c>
      <c r="B17" s="1">
        <v>42829</v>
      </c>
      <c r="C17" t="s">
        <v>11</v>
      </c>
      <c r="D17" t="s">
        <v>19</v>
      </c>
      <c r="E17" t="s">
        <v>89</v>
      </c>
      <c r="F17" t="s">
        <v>16</v>
      </c>
      <c r="G17" t="s">
        <v>90</v>
      </c>
      <c r="H17" s="2">
        <v>14</v>
      </c>
      <c r="I17" s="2">
        <v>1</v>
      </c>
      <c r="J17" s="3">
        <v>1.99</v>
      </c>
      <c r="K17" t="s">
        <v>13</v>
      </c>
      <c r="L17" s="3">
        <f t="shared" si="0"/>
        <v>0.14214285714285715</v>
      </c>
      <c r="M17" t="str">
        <f t="shared" si="1"/>
        <v>Tuesday</v>
      </c>
      <c r="N17" t="str">
        <f t="shared" si="2"/>
        <v>Low</v>
      </c>
    </row>
    <row r="18" spans="1:14" x14ac:dyDescent="0.35">
      <c r="A18">
        <v>1495929152</v>
      </c>
      <c r="B18" s="1">
        <v>42882</v>
      </c>
      <c r="C18" t="s">
        <v>11</v>
      </c>
      <c r="D18" t="s">
        <v>18</v>
      </c>
      <c r="E18" t="s">
        <v>89</v>
      </c>
      <c r="F18" t="s">
        <v>16</v>
      </c>
      <c r="G18" t="s">
        <v>90</v>
      </c>
      <c r="H18" s="2">
        <v>13</v>
      </c>
      <c r="I18" s="2">
        <v>1</v>
      </c>
      <c r="J18" s="3">
        <v>1.99</v>
      </c>
      <c r="K18" t="s">
        <v>13</v>
      </c>
      <c r="L18" s="3">
        <f t="shared" si="0"/>
        <v>0.15307692307692308</v>
      </c>
      <c r="M18" t="str">
        <f t="shared" si="1"/>
        <v>Saturday</v>
      </c>
      <c r="N18" t="str">
        <f t="shared" si="2"/>
        <v>Low</v>
      </c>
    </row>
    <row r="19" spans="1:14" x14ac:dyDescent="0.35">
      <c r="A19">
        <v>1493680066</v>
      </c>
      <c r="B19" s="1">
        <v>42856</v>
      </c>
      <c r="C19" t="s">
        <v>11</v>
      </c>
      <c r="D19" t="s">
        <v>15</v>
      </c>
      <c r="E19" t="s">
        <v>89</v>
      </c>
      <c r="F19" t="s">
        <v>12</v>
      </c>
      <c r="G19" t="s">
        <v>91</v>
      </c>
      <c r="H19" s="2">
        <v>37</v>
      </c>
      <c r="I19" s="2">
        <v>1</v>
      </c>
      <c r="J19" s="3">
        <v>1.99</v>
      </c>
      <c r="K19" t="s">
        <v>13</v>
      </c>
      <c r="L19" s="3">
        <f t="shared" si="0"/>
        <v>5.3783783783783783E-2</v>
      </c>
      <c r="M19" t="str">
        <f t="shared" si="1"/>
        <v>Monday</v>
      </c>
      <c r="N19" t="str">
        <f t="shared" si="2"/>
        <v>Low</v>
      </c>
    </row>
    <row r="20" spans="1:14" x14ac:dyDescent="0.35">
      <c r="A20">
        <v>1489895767</v>
      </c>
      <c r="B20" s="1">
        <v>42812</v>
      </c>
      <c r="C20" t="s">
        <v>11</v>
      </c>
      <c r="D20" t="s">
        <v>87</v>
      </c>
      <c r="E20" t="s">
        <v>89</v>
      </c>
      <c r="F20" t="s">
        <v>16</v>
      </c>
      <c r="G20" t="s">
        <v>91</v>
      </c>
      <c r="H20" s="2">
        <v>14</v>
      </c>
      <c r="I20" s="2">
        <v>1</v>
      </c>
      <c r="J20" s="3">
        <v>1.99</v>
      </c>
      <c r="K20" t="s">
        <v>13</v>
      </c>
      <c r="L20" s="3">
        <f t="shared" si="0"/>
        <v>0.14214285714285715</v>
      </c>
      <c r="M20" t="str">
        <f t="shared" si="1"/>
        <v>Saturday</v>
      </c>
      <c r="N20" t="str">
        <f t="shared" si="2"/>
        <v>Low</v>
      </c>
    </row>
    <row r="21" spans="1:14" x14ac:dyDescent="0.35">
      <c r="A21">
        <v>1485181174</v>
      </c>
      <c r="B21" s="1">
        <v>42758</v>
      </c>
      <c r="C21" t="s">
        <v>11</v>
      </c>
      <c r="D21" t="s">
        <v>20</v>
      </c>
      <c r="E21" t="s">
        <v>89</v>
      </c>
      <c r="F21" t="s">
        <v>12</v>
      </c>
      <c r="G21" t="s">
        <v>91</v>
      </c>
      <c r="H21" s="2">
        <v>13</v>
      </c>
      <c r="I21" s="2">
        <v>1</v>
      </c>
      <c r="J21" s="3">
        <v>1.99</v>
      </c>
      <c r="K21" t="s">
        <v>13</v>
      </c>
      <c r="L21" s="3">
        <f t="shared" si="0"/>
        <v>0.15307692307692308</v>
      </c>
      <c r="M21" t="str">
        <f t="shared" si="1"/>
        <v>Monday</v>
      </c>
      <c r="N21" t="str">
        <f t="shared" si="2"/>
        <v>Low</v>
      </c>
    </row>
    <row r="22" spans="1:14" x14ac:dyDescent="0.35">
      <c r="A22">
        <v>1501540907</v>
      </c>
      <c r="B22" s="1">
        <v>42947</v>
      </c>
      <c r="C22" t="s">
        <v>11</v>
      </c>
      <c r="D22" t="s">
        <v>21</v>
      </c>
      <c r="E22" t="s">
        <v>89</v>
      </c>
      <c r="F22" t="s">
        <v>16</v>
      </c>
      <c r="G22" t="s">
        <v>91</v>
      </c>
      <c r="H22" s="2">
        <v>14</v>
      </c>
      <c r="I22" s="2">
        <v>1</v>
      </c>
      <c r="J22" s="3">
        <v>1.99</v>
      </c>
      <c r="K22" t="s">
        <v>13</v>
      </c>
      <c r="L22" s="3">
        <f t="shared" si="0"/>
        <v>0.14214285714285715</v>
      </c>
      <c r="M22" t="str">
        <f t="shared" si="1"/>
        <v>Monday</v>
      </c>
      <c r="N22" t="str">
        <f t="shared" si="2"/>
        <v>Low</v>
      </c>
    </row>
    <row r="23" spans="1:14" x14ac:dyDescent="0.35">
      <c r="A23">
        <v>1474963826</v>
      </c>
      <c r="B23" s="1">
        <v>42640</v>
      </c>
      <c r="C23" t="s">
        <v>11</v>
      </c>
      <c r="D23" t="s">
        <v>87</v>
      </c>
      <c r="E23" t="s">
        <v>89</v>
      </c>
      <c r="F23" t="s">
        <v>12</v>
      </c>
      <c r="G23" t="s">
        <v>91</v>
      </c>
      <c r="H23" s="2">
        <v>72</v>
      </c>
      <c r="I23" s="2">
        <v>1</v>
      </c>
      <c r="J23" s="3">
        <v>2.4900000000000002</v>
      </c>
      <c r="K23" t="s">
        <v>13</v>
      </c>
      <c r="L23" s="3">
        <f t="shared" si="0"/>
        <v>3.4583333333333334E-2</v>
      </c>
      <c r="M23" t="str">
        <f t="shared" si="1"/>
        <v>Tuesday</v>
      </c>
      <c r="N23" t="str">
        <f t="shared" si="2"/>
        <v>Low</v>
      </c>
    </row>
    <row r="24" spans="1:14" x14ac:dyDescent="0.35">
      <c r="A24">
        <v>1485199595</v>
      </c>
      <c r="B24" s="1">
        <v>42758</v>
      </c>
      <c r="C24" t="s">
        <v>11</v>
      </c>
      <c r="D24" t="s">
        <v>87</v>
      </c>
      <c r="E24" t="s">
        <v>89</v>
      </c>
      <c r="F24" t="s">
        <v>16</v>
      </c>
      <c r="G24" t="s">
        <v>91</v>
      </c>
      <c r="H24" s="2">
        <v>29</v>
      </c>
      <c r="I24" s="2">
        <v>1</v>
      </c>
      <c r="J24" s="3">
        <v>2.5</v>
      </c>
      <c r="K24" t="s">
        <v>13</v>
      </c>
      <c r="L24" s="3">
        <f t="shared" si="0"/>
        <v>8.6206896551724144E-2</v>
      </c>
      <c r="M24" t="str">
        <f t="shared" si="1"/>
        <v>Monday</v>
      </c>
      <c r="N24" t="str">
        <f t="shared" si="2"/>
        <v>Low</v>
      </c>
    </row>
    <row r="25" spans="1:14" x14ac:dyDescent="0.35">
      <c r="A25">
        <v>1472532051</v>
      </c>
      <c r="B25" s="1">
        <v>42611</v>
      </c>
      <c r="C25" t="s">
        <v>11</v>
      </c>
      <c r="D25" t="s">
        <v>87</v>
      </c>
      <c r="E25" t="s">
        <v>89</v>
      </c>
      <c r="F25" t="s">
        <v>12</v>
      </c>
      <c r="G25" t="s">
        <v>91</v>
      </c>
      <c r="H25" s="2">
        <v>89</v>
      </c>
      <c r="I25" s="2">
        <v>1</v>
      </c>
      <c r="J25" s="3">
        <v>2.5299999999999998</v>
      </c>
      <c r="K25" t="s">
        <v>13</v>
      </c>
      <c r="L25" s="3">
        <f t="shared" si="0"/>
        <v>2.8426966292134828E-2</v>
      </c>
      <c r="M25" t="str">
        <f t="shared" si="1"/>
        <v>Monday</v>
      </c>
      <c r="N25" t="str">
        <f t="shared" si="2"/>
        <v>Low</v>
      </c>
    </row>
    <row r="26" spans="1:14" x14ac:dyDescent="0.35">
      <c r="A26">
        <v>1500857712</v>
      </c>
      <c r="B26" s="1">
        <v>42939</v>
      </c>
      <c r="C26" t="s">
        <v>11</v>
      </c>
      <c r="D26" t="s">
        <v>87</v>
      </c>
      <c r="E26" t="s">
        <v>89</v>
      </c>
      <c r="F26" t="s">
        <v>16</v>
      </c>
      <c r="G26" t="s">
        <v>91</v>
      </c>
      <c r="H26" s="2">
        <v>22</v>
      </c>
      <c r="I26" s="2">
        <v>1</v>
      </c>
      <c r="J26" s="3">
        <v>2.99</v>
      </c>
      <c r="K26" t="s">
        <v>13</v>
      </c>
      <c r="L26" s="3">
        <f t="shared" si="0"/>
        <v>0.13590909090909092</v>
      </c>
      <c r="M26" t="str">
        <f t="shared" si="1"/>
        <v>Sunday</v>
      </c>
      <c r="N26" t="str">
        <f t="shared" si="2"/>
        <v>Low</v>
      </c>
    </row>
    <row r="27" spans="1:14" x14ac:dyDescent="0.35">
      <c r="A27">
        <v>1479098765</v>
      </c>
      <c r="B27" s="1">
        <v>42687</v>
      </c>
      <c r="C27" t="s">
        <v>11</v>
      </c>
      <c r="D27" t="s">
        <v>87</v>
      </c>
      <c r="E27" t="s">
        <v>89</v>
      </c>
      <c r="F27" t="s">
        <v>12</v>
      </c>
      <c r="G27" t="s">
        <v>91</v>
      </c>
      <c r="H27" s="2">
        <v>9</v>
      </c>
      <c r="I27" s="2">
        <v>1</v>
      </c>
      <c r="J27" s="3">
        <v>2.99</v>
      </c>
      <c r="K27" t="s">
        <v>13</v>
      </c>
      <c r="L27" s="3">
        <f t="shared" si="0"/>
        <v>0.33222222222222225</v>
      </c>
      <c r="M27" t="str">
        <f t="shared" si="1"/>
        <v>Sunday</v>
      </c>
      <c r="N27" t="str">
        <f t="shared" si="2"/>
        <v>Low</v>
      </c>
    </row>
    <row r="28" spans="1:14" x14ac:dyDescent="0.35">
      <c r="A28">
        <v>1496674423</v>
      </c>
      <c r="B28" s="1">
        <v>42891</v>
      </c>
      <c r="C28" t="s">
        <v>11</v>
      </c>
      <c r="D28" t="s">
        <v>87</v>
      </c>
      <c r="E28" t="s">
        <v>89</v>
      </c>
      <c r="F28" t="s">
        <v>16</v>
      </c>
      <c r="G28" t="s">
        <v>91</v>
      </c>
      <c r="H28" s="2">
        <v>17</v>
      </c>
      <c r="I28" s="2">
        <v>1</v>
      </c>
      <c r="J28" s="3">
        <v>2.99</v>
      </c>
      <c r="K28" t="s">
        <v>13</v>
      </c>
      <c r="L28" s="3">
        <f t="shared" si="0"/>
        <v>0.17588235294117649</v>
      </c>
      <c r="M28" t="str">
        <f t="shared" si="1"/>
        <v>Monday</v>
      </c>
      <c r="N28" t="str">
        <f t="shared" si="2"/>
        <v>Low</v>
      </c>
    </row>
    <row r="29" spans="1:14" x14ac:dyDescent="0.35">
      <c r="A29">
        <v>1501613798</v>
      </c>
      <c r="B29" s="1">
        <v>42948</v>
      </c>
      <c r="C29" t="s">
        <v>22</v>
      </c>
      <c r="D29" t="s">
        <v>87</v>
      </c>
      <c r="E29" t="s">
        <v>89</v>
      </c>
      <c r="F29" t="s">
        <v>12</v>
      </c>
      <c r="G29" t="s">
        <v>91</v>
      </c>
      <c r="H29" s="2">
        <v>18</v>
      </c>
      <c r="I29" s="2">
        <v>1</v>
      </c>
      <c r="J29" s="3">
        <v>2.99</v>
      </c>
      <c r="K29" t="s">
        <v>13</v>
      </c>
      <c r="L29" s="3">
        <f t="shared" si="0"/>
        <v>0.16611111111111113</v>
      </c>
      <c r="M29" t="str">
        <f t="shared" si="1"/>
        <v>Tuesday</v>
      </c>
      <c r="N29" t="str">
        <f t="shared" si="2"/>
        <v>Low</v>
      </c>
    </row>
    <row r="30" spans="1:14" x14ac:dyDescent="0.35">
      <c r="A30">
        <v>1485752084</v>
      </c>
      <c r="B30" s="1">
        <v>42764</v>
      </c>
      <c r="C30" t="s">
        <v>11</v>
      </c>
      <c r="D30" t="s">
        <v>87</v>
      </c>
      <c r="E30" t="s">
        <v>89</v>
      </c>
      <c r="F30" t="s">
        <v>16</v>
      </c>
      <c r="G30" t="s">
        <v>91</v>
      </c>
      <c r="H30" s="2">
        <v>71</v>
      </c>
      <c r="I30" s="2">
        <v>1</v>
      </c>
      <c r="J30" s="3">
        <v>3.24</v>
      </c>
      <c r="K30" t="s">
        <v>13</v>
      </c>
      <c r="L30" s="3">
        <f t="shared" si="0"/>
        <v>4.5633802816901409E-2</v>
      </c>
      <c r="M30" t="str">
        <f t="shared" si="1"/>
        <v>Sunday</v>
      </c>
      <c r="N30" t="str">
        <f t="shared" si="2"/>
        <v>Low</v>
      </c>
    </row>
    <row r="31" spans="1:14" x14ac:dyDescent="0.35">
      <c r="A31">
        <v>1478311213</v>
      </c>
      <c r="B31" s="1">
        <v>42678</v>
      </c>
      <c r="C31" t="s">
        <v>11</v>
      </c>
      <c r="D31" t="s">
        <v>87</v>
      </c>
      <c r="E31" t="s">
        <v>89</v>
      </c>
      <c r="F31" t="s">
        <v>12</v>
      </c>
      <c r="G31" t="s">
        <v>91</v>
      </c>
      <c r="H31" s="2">
        <v>28</v>
      </c>
      <c r="I31" s="2">
        <v>1</v>
      </c>
      <c r="J31" s="3">
        <v>3.49</v>
      </c>
      <c r="K31" t="s">
        <v>13</v>
      </c>
      <c r="L31" s="3">
        <f t="shared" si="0"/>
        <v>0.12464285714285715</v>
      </c>
      <c r="M31" t="str">
        <f t="shared" si="1"/>
        <v>Friday</v>
      </c>
      <c r="N31" t="str">
        <f t="shared" si="2"/>
        <v>Low</v>
      </c>
    </row>
    <row r="32" spans="1:14" x14ac:dyDescent="0.35">
      <c r="A32">
        <v>1479461426</v>
      </c>
      <c r="B32" s="1">
        <v>42692</v>
      </c>
      <c r="C32" t="s">
        <v>11</v>
      </c>
      <c r="D32" t="s">
        <v>15</v>
      </c>
      <c r="E32" t="s">
        <v>89</v>
      </c>
      <c r="F32" t="s">
        <v>16</v>
      </c>
      <c r="G32" t="s">
        <v>91</v>
      </c>
      <c r="H32" s="2">
        <v>27</v>
      </c>
      <c r="I32" s="2">
        <v>1</v>
      </c>
      <c r="J32" s="3">
        <v>3.5</v>
      </c>
      <c r="K32" t="s">
        <v>13</v>
      </c>
      <c r="L32" s="3">
        <f t="shared" si="0"/>
        <v>0.12962962962962962</v>
      </c>
      <c r="M32" t="str">
        <f t="shared" si="1"/>
        <v>Friday</v>
      </c>
      <c r="N32" t="str">
        <f t="shared" si="2"/>
        <v>Low</v>
      </c>
    </row>
    <row r="33" spans="1:14" x14ac:dyDescent="0.35">
      <c r="A33">
        <v>1470339495</v>
      </c>
      <c r="B33" s="1">
        <v>42586</v>
      </c>
      <c r="C33" t="s">
        <v>11</v>
      </c>
      <c r="D33" t="s">
        <v>23</v>
      </c>
      <c r="E33" t="s">
        <v>89</v>
      </c>
      <c r="F33" t="s">
        <v>12</v>
      </c>
      <c r="G33" t="s">
        <v>90</v>
      </c>
      <c r="H33" s="2">
        <v>13</v>
      </c>
      <c r="I33" s="2">
        <v>1</v>
      </c>
      <c r="J33" s="3">
        <v>3.5</v>
      </c>
      <c r="K33" t="s">
        <v>13</v>
      </c>
      <c r="L33" s="3">
        <f t="shared" si="0"/>
        <v>0.26923076923076922</v>
      </c>
      <c r="M33" t="str">
        <f t="shared" si="1"/>
        <v>Thursday</v>
      </c>
      <c r="N33" t="str">
        <f t="shared" si="2"/>
        <v>Low</v>
      </c>
    </row>
    <row r="34" spans="1:14" x14ac:dyDescent="0.35">
      <c r="A34">
        <v>1475878255</v>
      </c>
      <c r="B34" s="1">
        <v>42650</v>
      </c>
      <c r="C34" t="s">
        <v>11</v>
      </c>
      <c r="D34" t="s">
        <v>87</v>
      </c>
      <c r="E34" t="s">
        <v>89</v>
      </c>
      <c r="F34" t="s">
        <v>16</v>
      </c>
      <c r="G34" t="s">
        <v>90</v>
      </c>
      <c r="H34" s="2">
        <v>16</v>
      </c>
      <c r="I34" s="2">
        <v>1</v>
      </c>
      <c r="J34" s="3">
        <v>3.5</v>
      </c>
      <c r="K34" t="s">
        <v>13</v>
      </c>
      <c r="L34" s="3">
        <f t="shared" si="0"/>
        <v>0.21875</v>
      </c>
      <c r="M34" t="str">
        <f t="shared" si="1"/>
        <v>Friday</v>
      </c>
      <c r="N34" t="str">
        <f t="shared" si="2"/>
        <v>Low</v>
      </c>
    </row>
    <row r="35" spans="1:14" x14ac:dyDescent="0.35">
      <c r="A35">
        <v>1497651320</v>
      </c>
      <c r="B35" s="1">
        <v>42902</v>
      </c>
      <c r="C35" t="s">
        <v>11</v>
      </c>
      <c r="D35" t="s">
        <v>87</v>
      </c>
      <c r="E35" t="s">
        <v>89</v>
      </c>
      <c r="F35" t="s">
        <v>16</v>
      </c>
      <c r="G35" t="s">
        <v>91</v>
      </c>
      <c r="H35" s="2">
        <v>25</v>
      </c>
      <c r="I35" s="2">
        <v>1</v>
      </c>
      <c r="J35" s="3">
        <v>3.5</v>
      </c>
      <c r="K35" t="s">
        <v>13</v>
      </c>
      <c r="L35" s="3">
        <f t="shared" si="0"/>
        <v>0.14000000000000001</v>
      </c>
      <c r="M35" t="str">
        <f t="shared" si="1"/>
        <v>Friday</v>
      </c>
      <c r="N35" t="str">
        <f t="shared" si="2"/>
        <v>Low</v>
      </c>
    </row>
    <row r="36" spans="1:14" x14ac:dyDescent="0.35">
      <c r="A36">
        <v>1495962117</v>
      </c>
      <c r="B36" s="1">
        <v>42883</v>
      </c>
      <c r="C36" t="s">
        <v>11</v>
      </c>
      <c r="D36" t="s">
        <v>87</v>
      </c>
      <c r="E36" t="s">
        <v>89</v>
      </c>
      <c r="F36" t="s">
        <v>12</v>
      </c>
      <c r="G36" t="s">
        <v>90</v>
      </c>
      <c r="H36" s="2">
        <v>19</v>
      </c>
      <c r="I36" s="2">
        <v>1</v>
      </c>
      <c r="J36" s="3">
        <v>3.5</v>
      </c>
      <c r="K36" t="s">
        <v>13</v>
      </c>
      <c r="L36" s="3">
        <f t="shared" si="0"/>
        <v>0.18421052631578946</v>
      </c>
      <c r="M36" t="str">
        <f t="shared" si="1"/>
        <v>Sunday</v>
      </c>
      <c r="N36" t="str">
        <f t="shared" si="2"/>
        <v>Low</v>
      </c>
    </row>
    <row r="37" spans="1:14" x14ac:dyDescent="0.35">
      <c r="A37">
        <v>1496863034</v>
      </c>
      <c r="B37" s="1">
        <v>42893</v>
      </c>
      <c r="C37" t="s">
        <v>11</v>
      </c>
      <c r="D37" t="s">
        <v>87</v>
      </c>
      <c r="E37" t="s">
        <v>89</v>
      </c>
      <c r="F37" t="s">
        <v>12</v>
      </c>
      <c r="G37" t="s">
        <v>91</v>
      </c>
      <c r="H37" s="2">
        <v>26</v>
      </c>
      <c r="I37" s="2">
        <v>1</v>
      </c>
      <c r="J37" s="3">
        <v>3.98</v>
      </c>
      <c r="K37" t="s">
        <v>13</v>
      </c>
      <c r="L37" s="3">
        <f t="shared" si="0"/>
        <v>0.15307692307692308</v>
      </c>
      <c r="M37" t="str">
        <f t="shared" si="1"/>
        <v>Wednesday</v>
      </c>
      <c r="N37" t="str">
        <f t="shared" si="2"/>
        <v>Low</v>
      </c>
    </row>
    <row r="38" spans="1:14" x14ac:dyDescent="0.35">
      <c r="A38">
        <v>1487633312</v>
      </c>
      <c r="B38" s="1">
        <v>42786</v>
      </c>
      <c r="C38" t="s">
        <v>11</v>
      </c>
      <c r="D38" t="s">
        <v>87</v>
      </c>
      <c r="E38" t="s">
        <v>89</v>
      </c>
      <c r="F38" t="s">
        <v>16</v>
      </c>
      <c r="G38" t="s">
        <v>91</v>
      </c>
      <c r="H38" s="2">
        <v>15</v>
      </c>
      <c r="I38" s="2">
        <v>1</v>
      </c>
      <c r="J38" s="3">
        <v>3.98</v>
      </c>
      <c r="K38" t="s">
        <v>13</v>
      </c>
      <c r="L38" s="3">
        <f t="shared" si="0"/>
        <v>0.26533333333333331</v>
      </c>
      <c r="M38" t="str">
        <f t="shared" si="1"/>
        <v>Monday</v>
      </c>
      <c r="N38" t="str">
        <f t="shared" si="2"/>
        <v>Low</v>
      </c>
    </row>
    <row r="39" spans="1:14" x14ac:dyDescent="0.35">
      <c r="A39">
        <v>1481927126</v>
      </c>
      <c r="B39" s="1">
        <v>42720</v>
      </c>
      <c r="C39" t="s">
        <v>11</v>
      </c>
      <c r="D39" t="s">
        <v>87</v>
      </c>
      <c r="E39" t="s">
        <v>89</v>
      </c>
      <c r="F39" t="s">
        <v>12</v>
      </c>
      <c r="G39" t="s">
        <v>91</v>
      </c>
      <c r="H39" s="2">
        <v>16</v>
      </c>
      <c r="I39" s="2">
        <v>1</v>
      </c>
      <c r="J39" s="3">
        <v>3.98</v>
      </c>
      <c r="K39" t="s">
        <v>13</v>
      </c>
      <c r="L39" s="3">
        <f t="shared" si="0"/>
        <v>0.24875</v>
      </c>
      <c r="M39" t="str">
        <f t="shared" si="1"/>
        <v>Friday</v>
      </c>
      <c r="N39" t="str">
        <f t="shared" si="2"/>
        <v>Low</v>
      </c>
    </row>
    <row r="40" spans="1:14" x14ac:dyDescent="0.35">
      <c r="A40">
        <v>1486833315</v>
      </c>
      <c r="B40" s="1">
        <v>42777</v>
      </c>
      <c r="C40" t="s">
        <v>11</v>
      </c>
      <c r="D40" t="s">
        <v>23</v>
      </c>
      <c r="E40" t="s">
        <v>89</v>
      </c>
      <c r="F40" t="s">
        <v>12</v>
      </c>
      <c r="G40" t="s">
        <v>91</v>
      </c>
      <c r="H40" s="2">
        <v>27</v>
      </c>
      <c r="I40" s="2">
        <v>1</v>
      </c>
      <c r="J40" s="3">
        <v>3.98</v>
      </c>
      <c r="K40" t="s">
        <v>13</v>
      </c>
      <c r="L40" s="3">
        <f t="shared" si="0"/>
        <v>0.1474074074074074</v>
      </c>
      <c r="M40" t="str">
        <f t="shared" si="1"/>
        <v>Saturday</v>
      </c>
      <c r="N40" t="str">
        <f t="shared" si="2"/>
        <v>Low</v>
      </c>
    </row>
    <row r="41" spans="1:14" x14ac:dyDescent="0.35">
      <c r="A41">
        <v>1488662818</v>
      </c>
      <c r="B41" s="1">
        <v>42798</v>
      </c>
      <c r="C41" t="s">
        <v>11</v>
      </c>
      <c r="D41" t="s">
        <v>87</v>
      </c>
      <c r="E41" t="s">
        <v>89</v>
      </c>
      <c r="F41" t="s">
        <v>12</v>
      </c>
      <c r="G41" t="s">
        <v>90</v>
      </c>
      <c r="H41" s="2">
        <v>53</v>
      </c>
      <c r="I41" s="2">
        <v>1</v>
      </c>
      <c r="J41" s="3">
        <v>3.98</v>
      </c>
      <c r="K41" t="s">
        <v>13</v>
      </c>
      <c r="L41" s="3">
        <f t="shared" si="0"/>
        <v>7.5094339622641504E-2</v>
      </c>
      <c r="M41" t="str">
        <f t="shared" si="1"/>
        <v>Saturday</v>
      </c>
      <c r="N41" t="str">
        <f t="shared" si="2"/>
        <v>Low</v>
      </c>
    </row>
    <row r="42" spans="1:14" x14ac:dyDescent="0.35">
      <c r="A42">
        <v>1481934366</v>
      </c>
      <c r="B42" s="1">
        <v>42720</v>
      </c>
      <c r="C42" t="s">
        <v>11</v>
      </c>
      <c r="D42" t="s">
        <v>87</v>
      </c>
      <c r="E42" t="s">
        <v>89</v>
      </c>
      <c r="F42" t="s">
        <v>12</v>
      </c>
      <c r="G42" t="s">
        <v>91</v>
      </c>
      <c r="H42" s="2">
        <v>19</v>
      </c>
      <c r="I42" s="2">
        <v>1</v>
      </c>
      <c r="J42" s="3">
        <v>3.98</v>
      </c>
      <c r="K42" t="s">
        <v>13</v>
      </c>
      <c r="L42" s="3">
        <f t="shared" si="0"/>
        <v>0.20947368421052631</v>
      </c>
      <c r="M42" t="str">
        <f t="shared" si="1"/>
        <v>Friday</v>
      </c>
      <c r="N42" t="str">
        <f t="shared" si="2"/>
        <v>Low</v>
      </c>
    </row>
    <row r="43" spans="1:14" x14ac:dyDescent="0.35">
      <c r="A43">
        <v>1484462565</v>
      </c>
      <c r="B43" s="1">
        <v>42749</v>
      </c>
      <c r="C43" t="s">
        <v>11</v>
      </c>
      <c r="D43" t="s">
        <v>15</v>
      </c>
      <c r="E43" t="s">
        <v>89</v>
      </c>
      <c r="F43" t="s">
        <v>12</v>
      </c>
      <c r="G43" t="s">
        <v>91</v>
      </c>
      <c r="H43" s="2">
        <v>27</v>
      </c>
      <c r="I43" s="2">
        <v>1</v>
      </c>
      <c r="J43" s="3">
        <v>3.98</v>
      </c>
      <c r="K43" t="s">
        <v>13</v>
      </c>
      <c r="L43" s="3">
        <f t="shared" si="0"/>
        <v>0.1474074074074074</v>
      </c>
      <c r="M43" t="str">
        <f t="shared" si="1"/>
        <v>Saturday</v>
      </c>
      <c r="N43" t="str">
        <f t="shared" si="2"/>
        <v>Low</v>
      </c>
    </row>
    <row r="44" spans="1:14" x14ac:dyDescent="0.35">
      <c r="A44">
        <v>1490230761</v>
      </c>
      <c r="B44" s="1">
        <v>42816</v>
      </c>
      <c r="C44" t="s">
        <v>11</v>
      </c>
      <c r="D44" t="s">
        <v>87</v>
      </c>
      <c r="E44" t="s">
        <v>89</v>
      </c>
      <c r="F44" t="s">
        <v>12</v>
      </c>
      <c r="G44" t="s">
        <v>90</v>
      </c>
      <c r="H44" s="2">
        <v>14</v>
      </c>
      <c r="I44" s="2">
        <v>1</v>
      </c>
      <c r="J44" s="3">
        <v>3.99</v>
      </c>
      <c r="K44" t="s">
        <v>13</v>
      </c>
      <c r="L44" s="3">
        <f t="shared" si="0"/>
        <v>0.28500000000000003</v>
      </c>
      <c r="M44" t="str">
        <f t="shared" si="1"/>
        <v>Wednesday</v>
      </c>
      <c r="N44" t="str">
        <f t="shared" si="2"/>
        <v>Low</v>
      </c>
    </row>
    <row r="45" spans="1:14" x14ac:dyDescent="0.35">
      <c r="A45">
        <v>1476272304</v>
      </c>
      <c r="B45" s="1">
        <v>42655</v>
      </c>
      <c r="C45" t="s">
        <v>11</v>
      </c>
      <c r="D45" t="s">
        <v>18</v>
      </c>
      <c r="E45" t="s">
        <v>89</v>
      </c>
      <c r="F45" t="s">
        <v>16</v>
      </c>
      <c r="G45" t="s">
        <v>91</v>
      </c>
      <c r="H45" s="2">
        <v>27</v>
      </c>
      <c r="I45" s="2">
        <v>1</v>
      </c>
      <c r="J45" s="3">
        <v>3.99</v>
      </c>
      <c r="K45" t="s">
        <v>13</v>
      </c>
      <c r="L45" s="3">
        <f t="shared" si="0"/>
        <v>0.14777777777777779</v>
      </c>
      <c r="M45" t="str">
        <f t="shared" si="1"/>
        <v>Wednesday</v>
      </c>
      <c r="N45" t="str">
        <f t="shared" si="2"/>
        <v>Low</v>
      </c>
    </row>
    <row r="46" spans="1:14" x14ac:dyDescent="0.35">
      <c r="A46">
        <v>1494112842</v>
      </c>
      <c r="B46" s="1">
        <v>42861</v>
      </c>
      <c r="C46" t="s">
        <v>11</v>
      </c>
      <c r="D46" t="s">
        <v>87</v>
      </c>
      <c r="E46" t="s">
        <v>89</v>
      </c>
      <c r="F46" t="s">
        <v>12</v>
      </c>
      <c r="G46" t="s">
        <v>91</v>
      </c>
      <c r="H46" s="2">
        <v>21</v>
      </c>
      <c r="I46" s="2">
        <v>1</v>
      </c>
      <c r="J46" s="3">
        <v>4.9800000000000004</v>
      </c>
      <c r="K46" t="s">
        <v>13</v>
      </c>
      <c r="L46" s="3">
        <f t="shared" si="0"/>
        <v>0.23714285714285716</v>
      </c>
      <c r="M46" t="str">
        <f t="shared" si="1"/>
        <v>Saturday</v>
      </c>
      <c r="N46" t="str">
        <f t="shared" si="2"/>
        <v>Low</v>
      </c>
    </row>
    <row r="47" spans="1:14" x14ac:dyDescent="0.35">
      <c r="A47">
        <v>1481754553</v>
      </c>
      <c r="B47" s="1">
        <v>42718</v>
      </c>
      <c r="C47" t="s">
        <v>11</v>
      </c>
      <c r="D47" t="s">
        <v>87</v>
      </c>
      <c r="E47" t="s">
        <v>89</v>
      </c>
      <c r="F47" t="s">
        <v>16</v>
      </c>
      <c r="G47" t="s">
        <v>91</v>
      </c>
      <c r="H47" s="2">
        <v>10</v>
      </c>
      <c r="I47" s="2">
        <v>1</v>
      </c>
      <c r="J47" s="3">
        <v>4.9800000000000004</v>
      </c>
      <c r="K47" t="s">
        <v>13</v>
      </c>
      <c r="L47" s="3">
        <f t="shared" si="0"/>
        <v>0.49800000000000005</v>
      </c>
      <c r="M47" t="str">
        <f t="shared" si="1"/>
        <v>Wednesday</v>
      </c>
      <c r="N47" t="str">
        <f t="shared" si="2"/>
        <v>Low</v>
      </c>
    </row>
    <row r="48" spans="1:14" x14ac:dyDescent="0.35">
      <c r="A48">
        <v>1500484069</v>
      </c>
      <c r="B48" s="1">
        <v>42935</v>
      </c>
      <c r="C48" t="s">
        <v>11</v>
      </c>
      <c r="D48" t="s">
        <v>87</v>
      </c>
      <c r="E48" t="s">
        <v>89</v>
      </c>
      <c r="F48" t="s">
        <v>16</v>
      </c>
      <c r="G48" t="s">
        <v>90</v>
      </c>
      <c r="H48" s="2">
        <v>35</v>
      </c>
      <c r="I48" s="2">
        <v>1</v>
      </c>
      <c r="J48" s="3">
        <v>4.99</v>
      </c>
      <c r="K48" t="s">
        <v>13</v>
      </c>
      <c r="L48" s="3">
        <f t="shared" si="0"/>
        <v>0.14257142857142857</v>
      </c>
      <c r="M48" t="str">
        <f t="shared" si="1"/>
        <v>Wednesday</v>
      </c>
      <c r="N48" t="str">
        <f t="shared" si="2"/>
        <v>Low</v>
      </c>
    </row>
    <row r="49" spans="1:14" x14ac:dyDescent="0.35">
      <c r="A49">
        <v>1474110388</v>
      </c>
      <c r="B49" s="1">
        <v>42630</v>
      </c>
      <c r="C49" t="s">
        <v>11</v>
      </c>
      <c r="D49" t="s">
        <v>24</v>
      </c>
      <c r="E49" t="s">
        <v>89</v>
      </c>
      <c r="F49" t="s">
        <v>12</v>
      </c>
      <c r="G49" t="s">
        <v>90</v>
      </c>
      <c r="H49" s="2">
        <v>29</v>
      </c>
      <c r="I49" s="2">
        <v>1</v>
      </c>
      <c r="J49" s="3">
        <v>4.99</v>
      </c>
      <c r="K49" t="s">
        <v>13</v>
      </c>
      <c r="L49" s="3">
        <f t="shared" si="0"/>
        <v>0.17206896551724138</v>
      </c>
      <c r="M49" t="str">
        <f t="shared" si="1"/>
        <v>Saturday</v>
      </c>
      <c r="N49" t="str">
        <f t="shared" si="2"/>
        <v>Low</v>
      </c>
    </row>
    <row r="50" spans="1:14" x14ac:dyDescent="0.35">
      <c r="A50">
        <v>1498345990</v>
      </c>
      <c r="B50" s="1">
        <v>42910</v>
      </c>
      <c r="C50" t="s">
        <v>11</v>
      </c>
      <c r="D50" t="s">
        <v>15</v>
      </c>
      <c r="E50" t="s">
        <v>89</v>
      </c>
      <c r="F50" t="s">
        <v>12</v>
      </c>
      <c r="G50" t="s">
        <v>91</v>
      </c>
      <c r="H50" s="2">
        <v>25</v>
      </c>
      <c r="I50" s="2">
        <v>1</v>
      </c>
      <c r="J50" s="3">
        <v>4.99</v>
      </c>
      <c r="K50" t="s">
        <v>13</v>
      </c>
      <c r="L50" s="3">
        <f t="shared" si="0"/>
        <v>0.1996</v>
      </c>
      <c r="M50" t="str">
        <f t="shared" si="1"/>
        <v>Saturday</v>
      </c>
      <c r="N50" t="str">
        <f t="shared" si="2"/>
        <v>Low</v>
      </c>
    </row>
    <row r="51" spans="1:14" x14ac:dyDescent="0.35">
      <c r="A51">
        <v>1501451904</v>
      </c>
      <c r="B51" s="1">
        <v>42946</v>
      </c>
      <c r="C51" t="s">
        <v>11</v>
      </c>
      <c r="D51" t="s">
        <v>87</v>
      </c>
      <c r="E51" t="s">
        <v>89</v>
      </c>
      <c r="F51" t="s">
        <v>12</v>
      </c>
      <c r="G51" t="s">
        <v>91</v>
      </c>
      <c r="H51" s="2">
        <v>24</v>
      </c>
      <c r="I51" s="2">
        <v>1</v>
      </c>
      <c r="J51" s="3">
        <v>5.7</v>
      </c>
      <c r="K51" t="s">
        <v>13</v>
      </c>
      <c r="L51" s="3">
        <f t="shared" si="0"/>
        <v>0.23750000000000002</v>
      </c>
      <c r="M51" t="str">
        <f t="shared" si="1"/>
        <v>Sunday</v>
      </c>
      <c r="N51" t="str">
        <f t="shared" si="2"/>
        <v>Low</v>
      </c>
    </row>
    <row r="52" spans="1:14" x14ac:dyDescent="0.35">
      <c r="A52">
        <v>1482005758</v>
      </c>
      <c r="B52" s="1">
        <v>42721</v>
      </c>
      <c r="C52" t="s">
        <v>11</v>
      </c>
      <c r="D52" t="s">
        <v>25</v>
      </c>
      <c r="E52" t="s">
        <v>89</v>
      </c>
      <c r="F52" t="s">
        <v>16</v>
      </c>
      <c r="G52" t="s">
        <v>91</v>
      </c>
      <c r="H52" s="2">
        <v>11</v>
      </c>
      <c r="I52" s="2">
        <v>1</v>
      </c>
      <c r="J52" s="3">
        <v>5.97</v>
      </c>
      <c r="K52" t="s">
        <v>13</v>
      </c>
      <c r="L52" s="3">
        <f t="shared" si="0"/>
        <v>0.54272727272727272</v>
      </c>
      <c r="M52" t="str">
        <f t="shared" si="1"/>
        <v>Saturday</v>
      </c>
      <c r="N52" t="str">
        <f t="shared" si="2"/>
        <v>Low</v>
      </c>
    </row>
    <row r="53" spans="1:14" x14ac:dyDescent="0.35">
      <c r="A53">
        <v>1478654308</v>
      </c>
      <c r="B53" s="1">
        <v>42682</v>
      </c>
      <c r="C53" t="s">
        <v>11</v>
      </c>
      <c r="D53" t="s">
        <v>14</v>
      </c>
      <c r="E53" t="s">
        <v>89</v>
      </c>
      <c r="F53" t="s">
        <v>16</v>
      </c>
      <c r="G53" t="s">
        <v>91</v>
      </c>
      <c r="H53" s="2">
        <v>18</v>
      </c>
      <c r="I53" s="2">
        <v>1</v>
      </c>
      <c r="J53" s="3">
        <v>5.97</v>
      </c>
      <c r="K53" t="s">
        <v>13</v>
      </c>
      <c r="L53" s="3">
        <f t="shared" si="0"/>
        <v>0.33166666666666667</v>
      </c>
      <c r="M53" t="str">
        <f t="shared" si="1"/>
        <v>Tuesday</v>
      </c>
      <c r="N53" t="str">
        <f t="shared" si="2"/>
        <v>Low</v>
      </c>
    </row>
    <row r="54" spans="1:14" x14ac:dyDescent="0.35">
      <c r="A54">
        <v>1485802555</v>
      </c>
      <c r="B54" s="1">
        <v>42765</v>
      </c>
      <c r="C54" t="s">
        <v>11</v>
      </c>
      <c r="D54" t="s">
        <v>14</v>
      </c>
      <c r="E54" t="s">
        <v>89</v>
      </c>
      <c r="F54" t="s">
        <v>26</v>
      </c>
      <c r="G54" t="s">
        <v>91</v>
      </c>
      <c r="H54" s="2">
        <v>21</v>
      </c>
      <c r="I54" s="2">
        <v>1</v>
      </c>
      <c r="J54" s="3">
        <v>5.97</v>
      </c>
      <c r="K54" t="s">
        <v>13</v>
      </c>
      <c r="L54" s="3">
        <f t="shared" si="0"/>
        <v>0.28428571428571425</v>
      </c>
      <c r="M54" t="str">
        <f t="shared" si="1"/>
        <v>Monday</v>
      </c>
      <c r="N54" t="str">
        <f t="shared" si="2"/>
        <v>Low</v>
      </c>
    </row>
    <row r="55" spans="1:14" x14ac:dyDescent="0.35">
      <c r="A55">
        <v>1491246721</v>
      </c>
      <c r="B55" s="1">
        <v>42828</v>
      </c>
      <c r="C55" t="s">
        <v>11</v>
      </c>
      <c r="D55" t="s">
        <v>87</v>
      </c>
      <c r="E55" t="s">
        <v>89</v>
      </c>
      <c r="F55" t="s">
        <v>12</v>
      </c>
      <c r="G55" t="s">
        <v>90</v>
      </c>
      <c r="H55" s="2">
        <v>20</v>
      </c>
      <c r="I55" s="2">
        <v>1</v>
      </c>
      <c r="J55" s="3">
        <v>5.99</v>
      </c>
      <c r="K55" t="s">
        <v>13</v>
      </c>
      <c r="L55" s="3">
        <f t="shared" si="0"/>
        <v>0.29949999999999999</v>
      </c>
      <c r="M55" t="str">
        <f t="shared" si="1"/>
        <v>Monday</v>
      </c>
      <c r="N55" t="str">
        <f t="shared" si="2"/>
        <v>Low</v>
      </c>
    </row>
    <row r="56" spans="1:14" x14ac:dyDescent="0.35">
      <c r="A56">
        <v>1501136533</v>
      </c>
      <c r="B56" s="1">
        <v>42942</v>
      </c>
      <c r="C56" t="s">
        <v>11</v>
      </c>
      <c r="D56" t="s">
        <v>87</v>
      </c>
      <c r="E56" t="s">
        <v>89</v>
      </c>
      <c r="F56" t="s">
        <v>16</v>
      </c>
      <c r="G56" t="s">
        <v>90</v>
      </c>
      <c r="H56" s="2">
        <v>11</v>
      </c>
      <c r="I56" s="2">
        <v>1</v>
      </c>
      <c r="J56" s="3">
        <v>6</v>
      </c>
      <c r="K56" t="s">
        <v>13</v>
      </c>
      <c r="L56" s="3">
        <f t="shared" si="0"/>
        <v>0.54545454545454541</v>
      </c>
      <c r="M56" t="str">
        <f t="shared" si="1"/>
        <v>Wednesday</v>
      </c>
      <c r="N56" t="str">
        <f t="shared" si="2"/>
        <v>Low</v>
      </c>
    </row>
    <row r="57" spans="1:14" x14ac:dyDescent="0.35">
      <c r="A57">
        <v>1499927321</v>
      </c>
      <c r="B57" s="1">
        <v>42929</v>
      </c>
      <c r="C57" t="s">
        <v>11</v>
      </c>
      <c r="D57" t="s">
        <v>87</v>
      </c>
      <c r="E57" t="s">
        <v>89</v>
      </c>
      <c r="F57" t="s">
        <v>12</v>
      </c>
      <c r="G57" t="s">
        <v>90</v>
      </c>
      <c r="H57" s="2">
        <v>4</v>
      </c>
      <c r="I57" s="2">
        <v>1</v>
      </c>
      <c r="J57" s="3">
        <v>6.49</v>
      </c>
      <c r="K57" t="s">
        <v>13</v>
      </c>
      <c r="L57" s="3">
        <f t="shared" si="0"/>
        <v>1.6225000000000001</v>
      </c>
      <c r="M57" t="str">
        <f t="shared" si="1"/>
        <v>Thursday</v>
      </c>
      <c r="N57" t="str">
        <f t="shared" si="2"/>
        <v>Low</v>
      </c>
    </row>
    <row r="58" spans="1:14" x14ac:dyDescent="0.35">
      <c r="A58">
        <v>1485554158</v>
      </c>
      <c r="B58" s="1">
        <v>42762</v>
      </c>
      <c r="C58" t="s">
        <v>11</v>
      </c>
      <c r="D58" t="s">
        <v>87</v>
      </c>
      <c r="E58" t="s">
        <v>89</v>
      </c>
      <c r="F58" t="s">
        <v>12</v>
      </c>
      <c r="G58" t="s">
        <v>91</v>
      </c>
      <c r="H58" s="2">
        <v>45</v>
      </c>
      <c r="I58" s="2">
        <v>1</v>
      </c>
      <c r="J58" s="3">
        <v>6.97</v>
      </c>
      <c r="K58" t="s">
        <v>13</v>
      </c>
      <c r="L58" s="3">
        <f t="shared" si="0"/>
        <v>0.15488888888888888</v>
      </c>
      <c r="M58" t="str">
        <f t="shared" si="1"/>
        <v>Friday</v>
      </c>
      <c r="N58" t="str">
        <f t="shared" si="2"/>
        <v>Low</v>
      </c>
    </row>
    <row r="59" spans="1:14" x14ac:dyDescent="0.35">
      <c r="A59">
        <v>1495294148</v>
      </c>
      <c r="B59" s="1">
        <v>42875</v>
      </c>
      <c r="C59" t="s">
        <v>11</v>
      </c>
      <c r="D59" t="s">
        <v>18</v>
      </c>
      <c r="E59" t="s">
        <v>89</v>
      </c>
      <c r="F59" t="s">
        <v>16</v>
      </c>
      <c r="G59" t="s">
        <v>90</v>
      </c>
      <c r="H59" s="2">
        <v>17</v>
      </c>
      <c r="I59" s="2">
        <v>1</v>
      </c>
      <c r="J59" s="3">
        <v>6.98</v>
      </c>
      <c r="K59" t="s">
        <v>13</v>
      </c>
      <c r="L59" s="3">
        <f t="shared" si="0"/>
        <v>0.4105882352941177</v>
      </c>
      <c r="M59" t="str">
        <f t="shared" si="1"/>
        <v>Saturday</v>
      </c>
      <c r="N59" t="str">
        <f t="shared" si="2"/>
        <v>Low</v>
      </c>
    </row>
    <row r="60" spans="1:14" x14ac:dyDescent="0.35">
      <c r="A60">
        <v>1501259606</v>
      </c>
      <c r="B60" s="1">
        <v>42944</v>
      </c>
      <c r="C60" t="s">
        <v>11</v>
      </c>
      <c r="D60" t="s">
        <v>87</v>
      </c>
      <c r="E60" t="s">
        <v>89</v>
      </c>
      <c r="F60" t="s">
        <v>12</v>
      </c>
      <c r="G60" t="s">
        <v>90</v>
      </c>
      <c r="H60" s="2">
        <v>20</v>
      </c>
      <c r="I60" s="2">
        <v>1</v>
      </c>
      <c r="J60" s="3">
        <v>6.99</v>
      </c>
      <c r="K60" t="s">
        <v>13</v>
      </c>
      <c r="L60" s="3">
        <f t="shared" si="0"/>
        <v>0.34950000000000003</v>
      </c>
      <c r="M60" t="str">
        <f t="shared" si="1"/>
        <v>Friday</v>
      </c>
      <c r="N60" t="str">
        <f t="shared" si="2"/>
        <v>Low</v>
      </c>
    </row>
    <row r="61" spans="1:14" x14ac:dyDescent="0.35">
      <c r="A61">
        <v>1476379537</v>
      </c>
      <c r="B61" s="1">
        <v>42656</v>
      </c>
      <c r="C61" t="s">
        <v>11</v>
      </c>
      <c r="D61" t="s">
        <v>27</v>
      </c>
      <c r="E61" t="s">
        <v>89</v>
      </c>
      <c r="F61" t="s">
        <v>16</v>
      </c>
      <c r="G61" t="s">
        <v>90</v>
      </c>
      <c r="H61" s="2">
        <v>57</v>
      </c>
      <c r="I61" s="2">
        <v>1</v>
      </c>
      <c r="J61" s="3">
        <v>6.99</v>
      </c>
      <c r="K61" t="s">
        <v>13</v>
      </c>
      <c r="L61" s="3">
        <f t="shared" si="0"/>
        <v>0.12263157894736842</v>
      </c>
      <c r="M61" t="str">
        <f t="shared" si="1"/>
        <v>Thursday</v>
      </c>
      <c r="N61" t="str">
        <f t="shared" si="2"/>
        <v>Low</v>
      </c>
    </row>
    <row r="62" spans="1:14" x14ac:dyDescent="0.35">
      <c r="A62">
        <v>1498271478</v>
      </c>
      <c r="B62" s="1">
        <v>42909</v>
      </c>
      <c r="C62" t="s">
        <v>11</v>
      </c>
      <c r="D62" t="s">
        <v>87</v>
      </c>
      <c r="E62" t="s">
        <v>89</v>
      </c>
      <c r="F62" t="s">
        <v>16</v>
      </c>
      <c r="G62" t="s">
        <v>91</v>
      </c>
      <c r="H62" s="2">
        <v>16</v>
      </c>
      <c r="I62" s="2">
        <v>1</v>
      </c>
      <c r="J62" s="3">
        <v>6.99</v>
      </c>
      <c r="K62" t="s">
        <v>13</v>
      </c>
      <c r="L62" s="3">
        <f t="shared" si="0"/>
        <v>0.43687500000000001</v>
      </c>
      <c r="M62" t="str">
        <f t="shared" si="1"/>
        <v>Friday</v>
      </c>
      <c r="N62" t="str">
        <f t="shared" si="2"/>
        <v>Low</v>
      </c>
    </row>
    <row r="63" spans="1:14" x14ac:dyDescent="0.35">
      <c r="A63">
        <v>1495304918</v>
      </c>
      <c r="B63" s="1">
        <v>42875</v>
      </c>
      <c r="C63" t="s">
        <v>11</v>
      </c>
      <c r="D63" t="s">
        <v>87</v>
      </c>
      <c r="E63" t="s">
        <v>89</v>
      </c>
      <c r="F63" t="s">
        <v>16</v>
      </c>
      <c r="G63" t="s">
        <v>90</v>
      </c>
      <c r="H63" s="2">
        <v>20</v>
      </c>
      <c r="I63" s="2">
        <v>1</v>
      </c>
      <c r="J63" s="3">
        <v>6.99</v>
      </c>
      <c r="K63" t="s">
        <v>13</v>
      </c>
      <c r="L63" s="3">
        <f t="shared" si="0"/>
        <v>0.34950000000000003</v>
      </c>
      <c r="M63" t="str">
        <f t="shared" si="1"/>
        <v>Saturday</v>
      </c>
      <c r="N63" t="str">
        <f t="shared" si="2"/>
        <v>Low</v>
      </c>
    </row>
    <row r="64" spans="1:14" x14ac:dyDescent="0.35">
      <c r="A64">
        <v>1482457052</v>
      </c>
      <c r="B64" s="1">
        <v>42726</v>
      </c>
      <c r="C64" t="s">
        <v>11</v>
      </c>
      <c r="D64" t="s">
        <v>87</v>
      </c>
      <c r="E64" t="s">
        <v>89</v>
      </c>
      <c r="F64" t="s">
        <v>16</v>
      </c>
      <c r="G64" t="s">
        <v>91</v>
      </c>
      <c r="H64" s="2">
        <v>50</v>
      </c>
      <c r="I64" s="2">
        <v>1</v>
      </c>
      <c r="J64" s="3">
        <v>6.99</v>
      </c>
      <c r="K64" t="s">
        <v>13</v>
      </c>
      <c r="L64" s="3">
        <f t="shared" si="0"/>
        <v>0.13980000000000001</v>
      </c>
      <c r="M64" t="str">
        <f t="shared" si="1"/>
        <v>Thursday</v>
      </c>
      <c r="N64" t="str">
        <f t="shared" si="2"/>
        <v>Low</v>
      </c>
    </row>
    <row r="65" spans="1:14" x14ac:dyDescent="0.35">
      <c r="A65">
        <v>1495390393</v>
      </c>
      <c r="B65" s="1">
        <v>42876</v>
      </c>
      <c r="C65" t="s">
        <v>11</v>
      </c>
      <c r="D65" t="s">
        <v>87</v>
      </c>
      <c r="E65" t="s">
        <v>89</v>
      </c>
      <c r="F65" t="s">
        <v>16</v>
      </c>
      <c r="G65" t="s">
        <v>91</v>
      </c>
      <c r="H65" s="2">
        <v>11</v>
      </c>
      <c r="I65" s="2">
        <v>1</v>
      </c>
      <c r="J65" s="3">
        <v>6.99</v>
      </c>
      <c r="K65" t="s">
        <v>13</v>
      </c>
      <c r="L65" s="3">
        <f t="shared" si="0"/>
        <v>0.63545454545454549</v>
      </c>
      <c r="M65" t="str">
        <f t="shared" si="1"/>
        <v>Sunday</v>
      </c>
      <c r="N65" t="str">
        <f t="shared" si="2"/>
        <v>Low</v>
      </c>
    </row>
    <row r="66" spans="1:14" x14ac:dyDescent="0.35">
      <c r="A66">
        <v>1485904887</v>
      </c>
      <c r="B66" s="1">
        <v>42766</v>
      </c>
      <c r="C66" t="s">
        <v>11</v>
      </c>
      <c r="D66" t="s">
        <v>87</v>
      </c>
      <c r="E66" t="s">
        <v>89</v>
      </c>
      <c r="F66" t="s">
        <v>12</v>
      </c>
      <c r="G66" t="s">
        <v>91</v>
      </c>
      <c r="H66" s="2">
        <v>9</v>
      </c>
      <c r="I66" s="2">
        <v>1</v>
      </c>
      <c r="J66" s="3">
        <v>6.99</v>
      </c>
      <c r="K66" t="s">
        <v>13</v>
      </c>
      <c r="L66" s="3">
        <f t="shared" si="0"/>
        <v>0.77666666666666673</v>
      </c>
      <c r="M66" t="str">
        <f t="shared" si="1"/>
        <v>Tuesday</v>
      </c>
      <c r="N66" t="str">
        <f t="shared" si="2"/>
        <v>Low</v>
      </c>
    </row>
    <row r="67" spans="1:14" x14ac:dyDescent="0.35">
      <c r="A67">
        <v>1485402328</v>
      </c>
      <c r="B67" s="1">
        <v>42760</v>
      </c>
      <c r="C67" t="s">
        <v>11</v>
      </c>
      <c r="D67" t="s">
        <v>87</v>
      </c>
      <c r="E67" t="s">
        <v>89</v>
      </c>
      <c r="F67" t="s">
        <v>16</v>
      </c>
      <c r="G67" t="s">
        <v>91</v>
      </c>
      <c r="H67" s="2">
        <v>10</v>
      </c>
      <c r="I67" s="2">
        <v>1</v>
      </c>
      <c r="J67" s="3">
        <v>6.99</v>
      </c>
      <c r="K67" t="s">
        <v>13</v>
      </c>
      <c r="L67" s="3">
        <f t="shared" ref="L67:L130" si="3">J67/H67</f>
        <v>0.69900000000000007</v>
      </c>
      <c r="M67" t="str">
        <f t="shared" ref="M67:M130" si="4">TEXT(B67, "dddd")</f>
        <v>Wednesday</v>
      </c>
      <c r="N67" t="str">
        <f t="shared" ref="N67:N130" si="5">IF(J67&gt;200,"High",IF(J67&gt;=20,"Medium","Low"))</f>
        <v>Low</v>
      </c>
    </row>
    <row r="68" spans="1:14" x14ac:dyDescent="0.35">
      <c r="A68">
        <v>1495327322</v>
      </c>
      <c r="B68" s="1">
        <v>42875</v>
      </c>
      <c r="C68" t="s">
        <v>11</v>
      </c>
      <c r="D68" t="s">
        <v>87</v>
      </c>
      <c r="E68" t="s">
        <v>89</v>
      </c>
      <c r="F68" t="s">
        <v>26</v>
      </c>
      <c r="G68" t="s">
        <v>91</v>
      </c>
      <c r="H68" s="2">
        <v>11</v>
      </c>
      <c r="I68" s="2">
        <v>1</v>
      </c>
      <c r="J68" s="3">
        <v>6.99</v>
      </c>
      <c r="K68" t="s">
        <v>13</v>
      </c>
      <c r="L68" s="3">
        <f t="shared" si="3"/>
        <v>0.63545454545454549</v>
      </c>
      <c r="M68" t="str">
        <f t="shared" si="4"/>
        <v>Saturday</v>
      </c>
      <c r="N68" t="str">
        <f t="shared" si="5"/>
        <v>Low</v>
      </c>
    </row>
    <row r="69" spans="1:14" x14ac:dyDescent="0.35">
      <c r="A69">
        <v>1495296937</v>
      </c>
      <c r="B69" s="1">
        <v>42875</v>
      </c>
      <c r="C69" t="s">
        <v>11</v>
      </c>
      <c r="D69" t="s">
        <v>87</v>
      </c>
      <c r="E69" t="s">
        <v>89</v>
      </c>
      <c r="F69" t="s">
        <v>26</v>
      </c>
      <c r="G69" t="s">
        <v>91</v>
      </c>
      <c r="H69" s="2">
        <v>13</v>
      </c>
      <c r="I69" s="2">
        <v>1</v>
      </c>
      <c r="J69" s="3">
        <v>6.99</v>
      </c>
      <c r="K69" t="s">
        <v>13</v>
      </c>
      <c r="L69" s="3">
        <f t="shared" si="3"/>
        <v>0.53769230769230769</v>
      </c>
      <c r="M69" t="str">
        <f t="shared" si="4"/>
        <v>Saturday</v>
      </c>
      <c r="N69" t="str">
        <f t="shared" si="5"/>
        <v>Low</v>
      </c>
    </row>
    <row r="70" spans="1:14" x14ac:dyDescent="0.35">
      <c r="A70">
        <v>1495302606</v>
      </c>
      <c r="B70" s="1">
        <v>42875</v>
      </c>
      <c r="C70" t="s">
        <v>11</v>
      </c>
      <c r="D70" t="s">
        <v>87</v>
      </c>
      <c r="E70" t="s">
        <v>89</v>
      </c>
      <c r="F70" t="s">
        <v>26</v>
      </c>
      <c r="G70" t="s">
        <v>91</v>
      </c>
      <c r="H70" s="2">
        <v>16</v>
      </c>
      <c r="I70" s="2">
        <v>1</v>
      </c>
      <c r="J70" s="3">
        <v>6.99</v>
      </c>
      <c r="K70" t="s">
        <v>13</v>
      </c>
      <c r="L70" s="3">
        <f t="shared" si="3"/>
        <v>0.43687500000000001</v>
      </c>
      <c r="M70" t="str">
        <f t="shared" si="4"/>
        <v>Saturday</v>
      </c>
      <c r="N70" t="str">
        <f t="shared" si="5"/>
        <v>Low</v>
      </c>
    </row>
    <row r="71" spans="1:14" x14ac:dyDescent="0.35">
      <c r="A71">
        <v>1485292180</v>
      </c>
      <c r="B71" s="1">
        <v>42759</v>
      </c>
      <c r="C71" t="s">
        <v>11</v>
      </c>
      <c r="D71" t="s">
        <v>87</v>
      </c>
      <c r="E71" t="s">
        <v>89</v>
      </c>
      <c r="F71" t="s">
        <v>12</v>
      </c>
      <c r="G71" t="s">
        <v>91</v>
      </c>
      <c r="H71" s="2">
        <v>12</v>
      </c>
      <c r="I71" s="2">
        <v>1</v>
      </c>
      <c r="J71" s="3">
        <v>6.99</v>
      </c>
      <c r="K71" t="s">
        <v>13</v>
      </c>
      <c r="L71" s="3">
        <f t="shared" si="3"/>
        <v>0.58250000000000002</v>
      </c>
      <c r="M71" t="str">
        <f t="shared" si="4"/>
        <v>Tuesday</v>
      </c>
      <c r="N71" t="str">
        <f t="shared" si="5"/>
        <v>Low</v>
      </c>
    </row>
    <row r="72" spans="1:14" x14ac:dyDescent="0.35">
      <c r="A72">
        <v>1496466523</v>
      </c>
      <c r="B72" s="1">
        <v>42888</v>
      </c>
      <c r="C72" t="s">
        <v>11</v>
      </c>
      <c r="D72" t="s">
        <v>14</v>
      </c>
      <c r="E72" t="s">
        <v>89</v>
      </c>
      <c r="F72" t="s">
        <v>16</v>
      </c>
      <c r="G72" t="s">
        <v>91</v>
      </c>
      <c r="H72" s="2">
        <v>17</v>
      </c>
      <c r="I72" s="2">
        <v>1</v>
      </c>
      <c r="J72" s="3">
        <v>6.99</v>
      </c>
      <c r="K72" t="s">
        <v>13</v>
      </c>
      <c r="L72" s="3">
        <f t="shared" si="3"/>
        <v>0.41117647058823531</v>
      </c>
      <c r="M72" t="str">
        <f t="shared" si="4"/>
        <v>Friday</v>
      </c>
      <c r="N72" t="str">
        <f t="shared" si="5"/>
        <v>Low</v>
      </c>
    </row>
    <row r="73" spans="1:14" x14ac:dyDescent="0.35">
      <c r="A73">
        <v>1479439395</v>
      </c>
      <c r="B73" s="1">
        <v>42691</v>
      </c>
      <c r="C73" t="s">
        <v>11</v>
      </c>
      <c r="D73" t="s">
        <v>14</v>
      </c>
      <c r="E73" t="s">
        <v>89</v>
      </c>
      <c r="F73" t="s">
        <v>12</v>
      </c>
      <c r="G73" t="s">
        <v>91</v>
      </c>
      <c r="H73" s="2">
        <v>24</v>
      </c>
      <c r="I73" s="2">
        <v>1</v>
      </c>
      <c r="J73" s="3">
        <v>7</v>
      </c>
      <c r="K73" t="s">
        <v>13</v>
      </c>
      <c r="L73" s="3">
        <f t="shared" si="3"/>
        <v>0.29166666666666669</v>
      </c>
      <c r="M73" t="str">
        <f t="shared" si="4"/>
        <v>Thursday</v>
      </c>
      <c r="N73" t="str">
        <f t="shared" si="5"/>
        <v>Low</v>
      </c>
    </row>
    <row r="74" spans="1:14" x14ac:dyDescent="0.35">
      <c r="A74">
        <v>1500424373</v>
      </c>
      <c r="B74" s="1">
        <v>42934</v>
      </c>
      <c r="C74" t="s">
        <v>11</v>
      </c>
      <c r="D74" t="s">
        <v>15</v>
      </c>
      <c r="E74" t="s">
        <v>89</v>
      </c>
      <c r="F74" t="s">
        <v>16</v>
      </c>
      <c r="G74" t="s">
        <v>90</v>
      </c>
      <c r="H74" s="2">
        <v>24</v>
      </c>
      <c r="I74" s="2">
        <v>1</v>
      </c>
      <c r="J74" s="3">
        <v>7.2</v>
      </c>
      <c r="K74" t="s">
        <v>13</v>
      </c>
      <c r="L74" s="3">
        <f t="shared" si="3"/>
        <v>0.3</v>
      </c>
      <c r="M74" t="str">
        <f t="shared" si="4"/>
        <v>Tuesday</v>
      </c>
      <c r="N74" t="str">
        <f t="shared" si="5"/>
        <v>Low</v>
      </c>
    </row>
    <row r="75" spans="1:14" x14ac:dyDescent="0.35">
      <c r="A75">
        <v>1478415170</v>
      </c>
      <c r="B75" s="1">
        <v>42680</v>
      </c>
      <c r="C75" t="s">
        <v>11</v>
      </c>
      <c r="D75" t="s">
        <v>87</v>
      </c>
      <c r="E75" t="s">
        <v>89</v>
      </c>
      <c r="F75" t="s">
        <v>12</v>
      </c>
      <c r="G75" t="s">
        <v>91</v>
      </c>
      <c r="H75" s="2">
        <v>30</v>
      </c>
      <c r="I75" s="2">
        <v>1</v>
      </c>
      <c r="J75" s="3">
        <v>7.48</v>
      </c>
      <c r="K75" t="s">
        <v>13</v>
      </c>
      <c r="L75" s="3">
        <f t="shared" si="3"/>
        <v>0.24933333333333335</v>
      </c>
      <c r="M75" t="str">
        <f t="shared" si="4"/>
        <v>Sunday</v>
      </c>
      <c r="N75" t="str">
        <f t="shared" si="5"/>
        <v>Low</v>
      </c>
    </row>
    <row r="76" spans="1:14" x14ac:dyDescent="0.35">
      <c r="A76">
        <v>1501045827</v>
      </c>
      <c r="B76" s="1">
        <v>42941</v>
      </c>
      <c r="C76" t="s">
        <v>11</v>
      </c>
      <c r="D76" t="s">
        <v>88</v>
      </c>
      <c r="E76" t="s">
        <v>89</v>
      </c>
      <c r="F76" t="s">
        <v>12</v>
      </c>
      <c r="G76" t="s">
        <v>90</v>
      </c>
      <c r="H76" s="2">
        <v>31</v>
      </c>
      <c r="I76" s="2">
        <v>1</v>
      </c>
      <c r="J76" s="3">
        <v>7.5</v>
      </c>
      <c r="K76" t="s">
        <v>13</v>
      </c>
      <c r="L76" s="3">
        <f t="shared" si="3"/>
        <v>0.24193548387096775</v>
      </c>
      <c r="M76" t="str">
        <f t="shared" si="4"/>
        <v>Tuesday</v>
      </c>
      <c r="N76" t="str">
        <f t="shared" si="5"/>
        <v>Low</v>
      </c>
    </row>
    <row r="77" spans="1:14" x14ac:dyDescent="0.35">
      <c r="A77">
        <v>1482257108</v>
      </c>
      <c r="B77" s="1">
        <v>42724</v>
      </c>
      <c r="C77" t="s">
        <v>11</v>
      </c>
      <c r="D77" t="s">
        <v>87</v>
      </c>
      <c r="E77" t="s">
        <v>89</v>
      </c>
      <c r="F77" t="s">
        <v>26</v>
      </c>
      <c r="G77" t="s">
        <v>91</v>
      </c>
      <c r="H77" s="2">
        <v>11</v>
      </c>
      <c r="I77" s="2">
        <v>1</v>
      </c>
      <c r="J77" s="3">
        <v>7.96</v>
      </c>
      <c r="K77" t="s">
        <v>13</v>
      </c>
      <c r="L77" s="3">
        <f t="shared" si="3"/>
        <v>0.72363636363636363</v>
      </c>
      <c r="M77" t="str">
        <f t="shared" si="4"/>
        <v>Tuesday</v>
      </c>
      <c r="N77" t="str">
        <f t="shared" si="5"/>
        <v>Low</v>
      </c>
    </row>
    <row r="78" spans="1:14" x14ac:dyDescent="0.35">
      <c r="A78">
        <v>1489195765</v>
      </c>
      <c r="B78" s="1">
        <v>42804</v>
      </c>
      <c r="C78" t="s">
        <v>11</v>
      </c>
      <c r="D78" t="s">
        <v>87</v>
      </c>
      <c r="E78" t="s">
        <v>89</v>
      </c>
      <c r="F78" t="s">
        <v>12</v>
      </c>
      <c r="G78" t="s">
        <v>91</v>
      </c>
      <c r="H78" s="2">
        <v>34</v>
      </c>
      <c r="I78" s="2">
        <v>1</v>
      </c>
      <c r="J78" s="3">
        <v>7.96</v>
      </c>
      <c r="K78" t="s">
        <v>13</v>
      </c>
      <c r="L78" s="3">
        <f t="shared" si="3"/>
        <v>0.23411764705882354</v>
      </c>
      <c r="M78" t="str">
        <f t="shared" si="4"/>
        <v>Friday</v>
      </c>
      <c r="N78" t="str">
        <f t="shared" si="5"/>
        <v>Low</v>
      </c>
    </row>
    <row r="79" spans="1:14" x14ac:dyDescent="0.35">
      <c r="A79">
        <v>1489987463</v>
      </c>
      <c r="B79" s="1">
        <v>42813</v>
      </c>
      <c r="C79" t="s">
        <v>11</v>
      </c>
      <c r="D79" t="s">
        <v>23</v>
      </c>
      <c r="E79" t="s">
        <v>89</v>
      </c>
      <c r="F79" t="s">
        <v>12</v>
      </c>
      <c r="G79" t="s">
        <v>91</v>
      </c>
      <c r="H79" s="2">
        <v>33</v>
      </c>
      <c r="I79" s="2">
        <v>1</v>
      </c>
      <c r="J79" s="3">
        <v>7.99</v>
      </c>
      <c r="K79" t="s">
        <v>13</v>
      </c>
      <c r="L79" s="3">
        <f t="shared" si="3"/>
        <v>0.24212121212121213</v>
      </c>
      <c r="M79" t="str">
        <f t="shared" si="4"/>
        <v>Sunday</v>
      </c>
      <c r="N79" t="str">
        <f t="shared" si="5"/>
        <v>Low</v>
      </c>
    </row>
    <row r="80" spans="1:14" x14ac:dyDescent="0.35">
      <c r="A80">
        <v>1487450421</v>
      </c>
      <c r="B80" s="1">
        <v>42784</v>
      </c>
      <c r="C80" t="s">
        <v>11</v>
      </c>
      <c r="D80" t="s">
        <v>87</v>
      </c>
      <c r="E80" t="s">
        <v>89</v>
      </c>
      <c r="F80" t="s">
        <v>12</v>
      </c>
      <c r="G80" t="s">
        <v>91</v>
      </c>
      <c r="H80" s="2">
        <v>15</v>
      </c>
      <c r="I80" s="2">
        <v>1</v>
      </c>
      <c r="J80" s="3">
        <v>7.99</v>
      </c>
      <c r="K80" t="s">
        <v>13</v>
      </c>
      <c r="L80" s="3">
        <f t="shared" si="3"/>
        <v>0.53266666666666673</v>
      </c>
      <c r="M80" t="str">
        <f t="shared" si="4"/>
        <v>Saturday</v>
      </c>
      <c r="N80" t="str">
        <f t="shared" si="5"/>
        <v>Low</v>
      </c>
    </row>
    <row r="81" spans="1:14" x14ac:dyDescent="0.35">
      <c r="A81">
        <v>1471982318</v>
      </c>
      <c r="B81" s="1">
        <v>42605</v>
      </c>
      <c r="C81" t="s">
        <v>11</v>
      </c>
      <c r="D81" t="s">
        <v>87</v>
      </c>
      <c r="E81" t="s">
        <v>89</v>
      </c>
      <c r="F81" t="s">
        <v>12</v>
      </c>
      <c r="G81" t="s">
        <v>91</v>
      </c>
      <c r="H81" s="2">
        <v>30</v>
      </c>
      <c r="I81" s="2">
        <v>1</v>
      </c>
      <c r="J81" s="3">
        <v>8.36</v>
      </c>
      <c r="K81" t="s">
        <v>13</v>
      </c>
      <c r="L81" s="3">
        <f t="shared" si="3"/>
        <v>0.27866666666666667</v>
      </c>
      <c r="M81" t="str">
        <f t="shared" si="4"/>
        <v>Tuesday</v>
      </c>
      <c r="N81" t="str">
        <f t="shared" si="5"/>
        <v>Low</v>
      </c>
    </row>
    <row r="82" spans="1:14" x14ac:dyDescent="0.35">
      <c r="A82">
        <v>1479897941</v>
      </c>
      <c r="B82" s="1">
        <v>42697</v>
      </c>
      <c r="C82" t="s">
        <v>11</v>
      </c>
      <c r="D82" t="s">
        <v>87</v>
      </c>
      <c r="E82" t="s">
        <v>89</v>
      </c>
      <c r="F82" t="s">
        <v>12</v>
      </c>
      <c r="G82" t="s">
        <v>91</v>
      </c>
      <c r="H82" s="2">
        <v>26</v>
      </c>
      <c r="I82" s="2">
        <v>1</v>
      </c>
      <c r="J82" s="3">
        <v>8.5</v>
      </c>
      <c r="K82" t="s">
        <v>13</v>
      </c>
      <c r="L82" s="3">
        <f t="shared" si="3"/>
        <v>0.32692307692307693</v>
      </c>
      <c r="M82" t="str">
        <f t="shared" si="4"/>
        <v>Wednesday</v>
      </c>
      <c r="N82" t="str">
        <f t="shared" si="5"/>
        <v>Low</v>
      </c>
    </row>
    <row r="83" spans="1:14" x14ac:dyDescent="0.35">
      <c r="A83">
        <v>1472665638</v>
      </c>
      <c r="B83" s="1">
        <v>42613</v>
      </c>
      <c r="C83" t="s">
        <v>11</v>
      </c>
      <c r="D83" t="s">
        <v>87</v>
      </c>
      <c r="E83" t="s">
        <v>89</v>
      </c>
      <c r="F83" t="s">
        <v>16</v>
      </c>
      <c r="G83" t="s">
        <v>91</v>
      </c>
      <c r="H83" s="2">
        <v>12</v>
      </c>
      <c r="I83" s="2">
        <v>1</v>
      </c>
      <c r="J83" s="3">
        <v>8.68</v>
      </c>
      <c r="K83" t="s">
        <v>13</v>
      </c>
      <c r="L83" s="3">
        <f t="shared" si="3"/>
        <v>0.72333333333333327</v>
      </c>
      <c r="M83" t="str">
        <f t="shared" si="4"/>
        <v>Wednesday</v>
      </c>
      <c r="N83" t="str">
        <f t="shared" si="5"/>
        <v>Low</v>
      </c>
    </row>
    <row r="84" spans="1:14" x14ac:dyDescent="0.35">
      <c r="A84">
        <v>1485478912</v>
      </c>
      <c r="B84" s="1">
        <v>42761</v>
      </c>
      <c r="C84" t="s">
        <v>11</v>
      </c>
      <c r="D84" t="s">
        <v>87</v>
      </c>
      <c r="E84" t="s">
        <v>89</v>
      </c>
      <c r="F84" t="s">
        <v>16</v>
      </c>
      <c r="G84" t="s">
        <v>91</v>
      </c>
      <c r="H84" s="2">
        <v>9</v>
      </c>
      <c r="I84" s="2">
        <v>1</v>
      </c>
      <c r="J84" s="3">
        <v>8.98</v>
      </c>
      <c r="K84" t="s">
        <v>13</v>
      </c>
      <c r="L84" s="3">
        <f t="shared" si="3"/>
        <v>0.99777777777777787</v>
      </c>
      <c r="M84" t="str">
        <f t="shared" si="4"/>
        <v>Thursday</v>
      </c>
      <c r="N84" t="str">
        <f t="shared" si="5"/>
        <v>Low</v>
      </c>
    </row>
    <row r="85" spans="1:14" x14ac:dyDescent="0.35">
      <c r="A85">
        <v>1493300917</v>
      </c>
      <c r="B85" s="1">
        <v>42852</v>
      </c>
      <c r="C85" t="s">
        <v>11</v>
      </c>
      <c r="D85" t="s">
        <v>28</v>
      </c>
      <c r="E85" t="s">
        <v>89</v>
      </c>
      <c r="F85" t="s">
        <v>16</v>
      </c>
      <c r="G85" t="s">
        <v>90</v>
      </c>
      <c r="H85" s="2">
        <v>41</v>
      </c>
      <c r="I85" s="2">
        <v>1</v>
      </c>
      <c r="J85" s="3">
        <v>8.98</v>
      </c>
      <c r="K85" t="s">
        <v>13</v>
      </c>
      <c r="L85" s="3">
        <f t="shared" si="3"/>
        <v>0.21902439024390244</v>
      </c>
      <c r="M85" t="str">
        <f t="shared" si="4"/>
        <v>Thursday</v>
      </c>
      <c r="N85" t="str">
        <f t="shared" si="5"/>
        <v>Low</v>
      </c>
    </row>
    <row r="86" spans="1:14" x14ac:dyDescent="0.35">
      <c r="A86">
        <v>1496351302</v>
      </c>
      <c r="B86" s="1">
        <v>42887</v>
      </c>
      <c r="C86" t="s">
        <v>11</v>
      </c>
      <c r="D86" t="s">
        <v>27</v>
      </c>
      <c r="E86" t="s">
        <v>89</v>
      </c>
      <c r="F86" t="s">
        <v>12</v>
      </c>
      <c r="G86" t="s">
        <v>90</v>
      </c>
      <c r="H86" s="2">
        <v>29</v>
      </c>
      <c r="I86" s="2">
        <v>1</v>
      </c>
      <c r="J86" s="3">
        <v>8.98</v>
      </c>
      <c r="K86" t="s">
        <v>13</v>
      </c>
      <c r="L86" s="3">
        <f t="shared" si="3"/>
        <v>0.30965517241379314</v>
      </c>
      <c r="M86" t="str">
        <f t="shared" si="4"/>
        <v>Thursday</v>
      </c>
      <c r="N86" t="str">
        <f t="shared" si="5"/>
        <v>Low</v>
      </c>
    </row>
    <row r="87" spans="1:14" x14ac:dyDescent="0.35">
      <c r="A87">
        <v>1490230836</v>
      </c>
      <c r="B87" s="1">
        <v>42816</v>
      </c>
      <c r="C87" t="s">
        <v>11</v>
      </c>
      <c r="D87" t="s">
        <v>87</v>
      </c>
      <c r="E87" t="s">
        <v>89</v>
      </c>
      <c r="F87" t="s">
        <v>16</v>
      </c>
      <c r="G87" t="s">
        <v>90</v>
      </c>
      <c r="H87" s="2">
        <v>40</v>
      </c>
      <c r="I87" s="2">
        <v>1</v>
      </c>
      <c r="J87" s="3">
        <v>8.98</v>
      </c>
      <c r="K87" t="s">
        <v>13</v>
      </c>
      <c r="L87" s="3">
        <f t="shared" si="3"/>
        <v>0.22450000000000001</v>
      </c>
      <c r="M87" t="str">
        <f t="shared" si="4"/>
        <v>Wednesday</v>
      </c>
      <c r="N87" t="str">
        <f t="shared" si="5"/>
        <v>Low</v>
      </c>
    </row>
    <row r="88" spans="1:14" x14ac:dyDescent="0.35">
      <c r="A88">
        <v>1494944694</v>
      </c>
      <c r="B88" s="1">
        <v>42871</v>
      </c>
      <c r="C88" t="s">
        <v>11</v>
      </c>
      <c r="D88" t="s">
        <v>18</v>
      </c>
      <c r="E88" t="s">
        <v>89</v>
      </c>
      <c r="F88" t="s">
        <v>16</v>
      </c>
      <c r="G88" t="s">
        <v>90</v>
      </c>
      <c r="H88" s="2">
        <v>18</v>
      </c>
      <c r="I88" s="2">
        <v>1</v>
      </c>
      <c r="J88" s="3">
        <v>8.98</v>
      </c>
      <c r="K88" t="s">
        <v>13</v>
      </c>
      <c r="L88" s="3">
        <f t="shared" si="3"/>
        <v>0.49888888888888894</v>
      </c>
      <c r="M88" t="str">
        <f t="shared" si="4"/>
        <v>Tuesday</v>
      </c>
      <c r="N88" t="str">
        <f t="shared" si="5"/>
        <v>Low</v>
      </c>
    </row>
    <row r="89" spans="1:14" x14ac:dyDescent="0.35">
      <c r="A89">
        <v>1489484836</v>
      </c>
      <c r="B89" s="1">
        <v>42808</v>
      </c>
      <c r="C89" t="s">
        <v>11</v>
      </c>
      <c r="D89" t="s">
        <v>28</v>
      </c>
      <c r="E89" t="s">
        <v>89</v>
      </c>
      <c r="F89" t="s">
        <v>16</v>
      </c>
      <c r="G89" t="s">
        <v>90</v>
      </c>
      <c r="H89" s="2">
        <v>21</v>
      </c>
      <c r="I89" s="2">
        <v>1</v>
      </c>
      <c r="J89" s="3">
        <v>8.98</v>
      </c>
      <c r="K89" t="s">
        <v>13</v>
      </c>
      <c r="L89" s="3">
        <f t="shared" si="3"/>
        <v>0.42761904761904762</v>
      </c>
      <c r="M89" t="str">
        <f t="shared" si="4"/>
        <v>Tuesday</v>
      </c>
      <c r="N89" t="str">
        <f t="shared" si="5"/>
        <v>Low</v>
      </c>
    </row>
    <row r="90" spans="1:14" x14ac:dyDescent="0.35">
      <c r="A90">
        <v>1492449129</v>
      </c>
      <c r="B90" s="1">
        <v>42842</v>
      </c>
      <c r="C90" t="s">
        <v>11</v>
      </c>
      <c r="D90" t="s">
        <v>87</v>
      </c>
      <c r="E90" t="s">
        <v>89</v>
      </c>
      <c r="F90" t="s">
        <v>16</v>
      </c>
      <c r="G90" t="s">
        <v>91</v>
      </c>
      <c r="H90" s="2">
        <v>17</v>
      </c>
      <c r="I90" s="2">
        <v>1</v>
      </c>
      <c r="J90" s="3">
        <v>8.98</v>
      </c>
      <c r="K90" t="s">
        <v>13</v>
      </c>
      <c r="L90" s="3">
        <f t="shared" si="3"/>
        <v>0.52823529411764714</v>
      </c>
      <c r="M90" t="str">
        <f t="shared" si="4"/>
        <v>Monday</v>
      </c>
      <c r="N90" t="str">
        <f t="shared" si="5"/>
        <v>Low</v>
      </c>
    </row>
    <row r="91" spans="1:14" x14ac:dyDescent="0.35">
      <c r="A91">
        <v>1479068994</v>
      </c>
      <c r="B91" s="1">
        <v>42687</v>
      </c>
      <c r="C91" t="s">
        <v>11</v>
      </c>
      <c r="D91" t="s">
        <v>23</v>
      </c>
      <c r="E91" t="s">
        <v>89</v>
      </c>
      <c r="F91" t="s">
        <v>12</v>
      </c>
      <c r="G91" t="s">
        <v>91</v>
      </c>
      <c r="H91" s="2">
        <v>19</v>
      </c>
      <c r="I91" s="2">
        <v>1</v>
      </c>
      <c r="J91" s="3">
        <v>8.99</v>
      </c>
      <c r="K91" t="s">
        <v>13</v>
      </c>
      <c r="L91" s="3">
        <f t="shared" si="3"/>
        <v>0.47315789473684211</v>
      </c>
      <c r="M91" t="str">
        <f t="shared" si="4"/>
        <v>Sunday</v>
      </c>
      <c r="N91" t="str">
        <f t="shared" si="5"/>
        <v>Low</v>
      </c>
    </row>
    <row r="92" spans="1:14" x14ac:dyDescent="0.35">
      <c r="A92">
        <v>1491355084</v>
      </c>
      <c r="B92" s="1">
        <v>42829</v>
      </c>
      <c r="C92" t="s">
        <v>11</v>
      </c>
      <c r="D92" t="s">
        <v>87</v>
      </c>
      <c r="E92" t="s">
        <v>89</v>
      </c>
      <c r="F92" t="s">
        <v>16</v>
      </c>
      <c r="G92" t="s">
        <v>91</v>
      </c>
      <c r="H92" s="2">
        <v>10</v>
      </c>
      <c r="I92" s="2">
        <v>1</v>
      </c>
      <c r="J92" s="3">
        <v>8.99</v>
      </c>
      <c r="K92" t="s">
        <v>13</v>
      </c>
      <c r="L92" s="3">
        <f t="shared" si="3"/>
        <v>0.89900000000000002</v>
      </c>
      <c r="M92" t="str">
        <f t="shared" si="4"/>
        <v>Tuesday</v>
      </c>
      <c r="N92" t="str">
        <f t="shared" si="5"/>
        <v>Low</v>
      </c>
    </row>
    <row r="93" spans="1:14" x14ac:dyDescent="0.35">
      <c r="A93">
        <v>1491137070</v>
      </c>
      <c r="B93" s="1">
        <v>42827</v>
      </c>
      <c r="C93" t="s">
        <v>11</v>
      </c>
      <c r="D93" t="s">
        <v>87</v>
      </c>
      <c r="E93" t="s">
        <v>89</v>
      </c>
      <c r="F93" t="s">
        <v>12</v>
      </c>
      <c r="G93" t="s">
        <v>91</v>
      </c>
      <c r="H93" s="2">
        <v>13</v>
      </c>
      <c r="I93" s="2">
        <v>1</v>
      </c>
      <c r="J93" s="3">
        <v>8.99</v>
      </c>
      <c r="K93" t="s">
        <v>13</v>
      </c>
      <c r="L93" s="3">
        <f t="shared" si="3"/>
        <v>0.69153846153846155</v>
      </c>
      <c r="M93" t="str">
        <f t="shared" si="4"/>
        <v>Sunday</v>
      </c>
      <c r="N93" t="str">
        <f t="shared" si="5"/>
        <v>Low</v>
      </c>
    </row>
    <row r="94" spans="1:14" x14ac:dyDescent="0.35">
      <c r="A94">
        <v>1492225509</v>
      </c>
      <c r="B94" s="1">
        <v>42839</v>
      </c>
      <c r="C94" t="s">
        <v>11</v>
      </c>
      <c r="D94" t="s">
        <v>87</v>
      </c>
      <c r="E94" t="s">
        <v>89</v>
      </c>
      <c r="F94" t="s">
        <v>12</v>
      </c>
      <c r="G94" t="s">
        <v>90</v>
      </c>
      <c r="H94" s="2">
        <v>19</v>
      </c>
      <c r="I94" s="2">
        <v>1</v>
      </c>
      <c r="J94" s="3">
        <v>8.99</v>
      </c>
      <c r="K94" t="s">
        <v>13</v>
      </c>
      <c r="L94" s="3">
        <f t="shared" si="3"/>
        <v>0.47315789473684211</v>
      </c>
      <c r="M94" t="str">
        <f t="shared" si="4"/>
        <v>Friday</v>
      </c>
      <c r="N94" t="str">
        <f t="shared" si="5"/>
        <v>Low</v>
      </c>
    </row>
    <row r="95" spans="1:14" x14ac:dyDescent="0.35">
      <c r="A95">
        <v>1485355484</v>
      </c>
      <c r="B95" s="1">
        <v>42760</v>
      </c>
      <c r="C95" t="s">
        <v>11</v>
      </c>
      <c r="D95" t="s">
        <v>25</v>
      </c>
      <c r="E95" t="s">
        <v>89</v>
      </c>
      <c r="F95" t="s">
        <v>12</v>
      </c>
      <c r="G95" t="s">
        <v>91</v>
      </c>
      <c r="H95" s="2">
        <v>13</v>
      </c>
      <c r="I95" s="2">
        <v>1</v>
      </c>
      <c r="J95" s="3">
        <v>8.99</v>
      </c>
      <c r="K95" t="s">
        <v>13</v>
      </c>
      <c r="L95" s="3">
        <f t="shared" si="3"/>
        <v>0.69153846153846155</v>
      </c>
      <c r="M95" t="str">
        <f t="shared" si="4"/>
        <v>Wednesday</v>
      </c>
      <c r="N95" t="str">
        <f t="shared" si="5"/>
        <v>Low</v>
      </c>
    </row>
    <row r="96" spans="1:14" x14ac:dyDescent="0.35">
      <c r="A96">
        <v>1491880844</v>
      </c>
      <c r="B96" s="1">
        <v>42835</v>
      </c>
      <c r="C96" t="s">
        <v>11</v>
      </c>
      <c r="D96" t="s">
        <v>15</v>
      </c>
      <c r="E96" t="s">
        <v>89</v>
      </c>
      <c r="F96" t="s">
        <v>12</v>
      </c>
      <c r="G96" t="s">
        <v>91</v>
      </c>
      <c r="H96" s="2">
        <v>12</v>
      </c>
      <c r="I96" s="2">
        <v>1</v>
      </c>
      <c r="J96" s="3">
        <v>8.99</v>
      </c>
      <c r="K96" t="s">
        <v>13</v>
      </c>
      <c r="L96" s="3">
        <f t="shared" si="3"/>
        <v>0.74916666666666665</v>
      </c>
      <c r="M96" t="str">
        <f t="shared" si="4"/>
        <v>Monday</v>
      </c>
      <c r="N96" t="str">
        <f t="shared" si="5"/>
        <v>Low</v>
      </c>
    </row>
    <row r="97" spans="1:14" x14ac:dyDescent="0.35">
      <c r="A97">
        <v>1491416075</v>
      </c>
      <c r="B97" s="1">
        <v>42830</v>
      </c>
      <c r="C97" t="s">
        <v>11</v>
      </c>
      <c r="D97" t="s">
        <v>87</v>
      </c>
      <c r="E97" t="s">
        <v>89</v>
      </c>
      <c r="F97" t="s">
        <v>16</v>
      </c>
      <c r="G97" t="s">
        <v>91</v>
      </c>
      <c r="H97" s="2">
        <v>12</v>
      </c>
      <c r="I97" s="2">
        <v>1</v>
      </c>
      <c r="J97" s="3">
        <v>8.99</v>
      </c>
      <c r="K97" t="s">
        <v>13</v>
      </c>
      <c r="L97" s="3">
        <f t="shared" si="3"/>
        <v>0.74916666666666665</v>
      </c>
      <c r="M97" t="str">
        <f t="shared" si="4"/>
        <v>Wednesday</v>
      </c>
      <c r="N97" t="str">
        <f t="shared" si="5"/>
        <v>Low</v>
      </c>
    </row>
    <row r="98" spans="1:14" x14ac:dyDescent="0.35">
      <c r="A98">
        <v>1479913858</v>
      </c>
      <c r="B98" s="1">
        <v>42697</v>
      </c>
      <c r="C98" t="s">
        <v>11</v>
      </c>
      <c r="D98" t="s">
        <v>87</v>
      </c>
      <c r="E98" t="s">
        <v>89</v>
      </c>
      <c r="F98" t="s">
        <v>12</v>
      </c>
      <c r="G98" t="s">
        <v>91</v>
      </c>
      <c r="H98" s="2">
        <v>20</v>
      </c>
      <c r="I98" s="2">
        <v>1</v>
      </c>
      <c r="J98" s="3">
        <v>8.99</v>
      </c>
      <c r="K98" t="s">
        <v>13</v>
      </c>
      <c r="L98" s="3">
        <f t="shared" si="3"/>
        <v>0.44950000000000001</v>
      </c>
      <c r="M98" t="str">
        <f t="shared" si="4"/>
        <v>Wednesday</v>
      </c>
      <c r="N98" t="str">
        <f t="shared" si="5"/>
        <v>Low</v>
      </c>
    </row>
    <row r="99" spans="1:14" x14ac:dyDescent="0.35">
      <c r="A99">
        <v>1482200494</v>
      </c>
      <c r="B99" s="1">
        <v>42723</v>
      </c>
      <c r="C99" t="s">
        <v>11</v>
      </c>
      <c r="D99" t="s">
        <v>29</v>
      </c>
      <c r="E99" t="s">
        <v>89</v>
      </c>
      <c r="F99" t="s">
        <v>30</v>
      </c>
      <c r="G99" t="s">
        <v>91</v>
      </c>
      <c r="H99" s="2">
        <v>24</v>
      </c>
      <c r="I99" s="2">
        <v>1</v>
      </c>
      <c r="J99" s="3">
        <v>9.9499999999999993</v>
      </c>
      <c r="K99" t="s">
        <v>13</v>
      </c>
      <c r="L99" s="3">
        <f t="shared" si="3"/>
        <v>0.4145833333333333</v>
      </c>
      <c r="M99" t="str">
        <f t="shared" si="4"/>
        <v>Monday</v>
      </c>
      <c r="N99" t="str">
        <f t="shared" si="5"/>
        <v>Low</v>
      </c>
    </row>
    <row r="100" spans="1:14" x14ac:dyDescent="0.35">
      <c r="A100">
        <v>1489097413</v>
      </c>
      <c r="B100" s="1">
        <v>42803</v>
      </c>
      <c r="C100" t="s">
        <v>11</v>
      </c>
      <c r="D100" t="s">
        <v>15</v>
      </c>
      <c r="E100" t="s">
        <v>89</v>
      </c>
      <c r="F100" t="s">
        <v>16</v>
      </c>
      <c r="G100" t="s">
        <v>90</v>
      </c>
      <c r="H100" s="2">
        <v>56</v>
      </c>
      <c r="I100" s="2">
        <v>1</v>
      </c>
      <c r="J100" s="3">
        <v>9.9700000000000006</v>
      </c>
      <c r="K100" t="s">
        <v>13</v>
      </c>
      <c r="L100" s="3">
        <f t="shared" si="3"/>
        <v>0.1780357142857143</v>
      </c>
      <c r="M100" t="str">
        <f t="shared" si="4"/>
        <v>Thursday</v>
      </c>
      <c r="N100" t="str">
        <f t="shared" si="5"/>
        <v>Low</v>
      </c>
    </row>
    <row r="101" spans="1:14" x14ac:dyDescent="0.35">
      <c r="A101">
        <v>1498211423</v>
      </c>
      <c r="B101" s="1">
        <v>42909</v>
      </c>
      <c r="C101" t="s">
        <v>11</v>
      </c>
      <c r="D101" t="s">
        <v>87</v>
      </c>
      <c r="E101" t="s">
        <v>89</v>
      </c>
      <c r="F101" t="s">
        <v>12</v>
      </c>
      <c r="G101" t="s">
        <v>91</v>
      </c>
      <c r="H101" s="2">
        <v>28</v>
      </c>
      <c r="I101" s="2">
        <v>1</v>
      </c>
      <c r="J101" s="3">
        <v>9.98</v>
      </c>
      <c r="K101" t="s">
        <v>13</v>
      </c>
      <c r="L101" s="3">
        <f t="shared" si="3"/>
        <v>0.35642857142857143</v>
      </c>
      <c r="M101" t="str">
        <f t="shared" si="4"/>
        <v>Friday</v>
      </c>
      <c r="N101" t="str">
        <f t="shared" si="5"/>
        <v>Low</v>
      </c>
    </row>
    <row r="102" spans="1:14" x14ac:dyDescent="0.35">
      <c r="A102">
        <v>1476052651</v>
      </c>
      <c r="B102" s="1">
        <v>42652</v>
      </c>
      <c r="C102" t="s">
        <v>11</v>
      </c>
      <c r="D102" t="s">
        <v>25</v>
      </c>
      <c r="E102" t="s">
        <v>89</v>
      </c>
      <c r="F102" t="s">
        <v>12</v>
      </c>
      <c r="G102" t="s">
        <v>91</v>
      </c>
      <c r="H102" s="2">
        <v>51</v>
      </c>
      <c r="I102" s="2">
        <v>1</v>
      </c>
      <c r="J102" s="3">
        <v>9.98</v>
      </c>
      <c r="K102" t="s">
        <v>13</v>
      </c>
      <c r="L102" s="3">
        <f t="shared" si="3"/>
        <v>0.19568627450980394</v>
      </c>
      <c r="M102" t="str">
        <f t="shared" si="4"/>
        <v>Sunday</v>
      </c>
      <c r="N102" t="str">
        <f t="shared" si="5"/>
        <v>Low</v>
      </c>
    </row>
    <row r="103" spans="1:14" x14ac:dyDescent="0.35">
      <c r="A103">
        <v>1479593100</v>
      </c>
      <c r="B103" s="1">
        <v>42693</v>
      </c>
      <c r="C103" t="s">
        <v>11</v>
      </c>
      <c r="D103" t="s">
        <v>87</v>
      </c>
      <c r="E103" t="s">
        <v>89</v>
      </c>
      <c r="F103" t="s">
        <v>12</v>
      </c>
      <c r="G103" t="s">
        <v>90</v>
      </c>
      <c r="H103" s="2">
        <v>15</v>
      </c>
      <c r="I103" s="2">
        <v>1</v>
      </c>
      <c r="J103" s="3">
        <v>9.98</v>
      </c>
      <c r="K103" t="s">
        <v>13</v>
      </c>
      <c r="L103" s="3">
        <f t="shared" si="3"/>
        <v>0.66533333333333333</v>
      </c>
      <c r="M103" t="str">
        <f t="shared" si="4"/>
        <v>Saturday</v>
      </c>
      <c r="N103" t="str">
        <f t="shared" si="5"/>
        <v>Low</v>
      </c>
    </row>
    <row r="104" spans="1:14" x14ac:dyDescent="0.35">
      <c r="A104">
        <v>1489164550</v>
      </c>
      <c r="B104" s="1">
        <v>42804</v>
      </c>
      <c r="C104" t="s">
        <v>11</v>
      </c>
      <c r="D104" t="s">
        <v>14</v>
      </c>
      <c r="E104" t="s">
        <v>89</v>
      </c>
      <c r="F104" t="s">
        <v>12</v>
      </c>
      <c r="G104" t="s">
        <v>91</v>
      </c>
      <c r="H104" s="2">
        <v>11</v>
      </c>
      <c r="I104" s="2">
        <v>1</v>
      </c>
      <c r="J104" s="3">
        <v>9.98</v>
      </c>
      <c r="K104" t="s">
        <v>13</v>
      </c>
      <c r="L104" s="3">
        <f t="shared" si="3"/>
        <v>0.90727272727272734</v>
      </c>
      <c r="M104" t="str">
        <f t="shared" si="4"/>
        <v>Friday</v>
      </c>
      <c r="N104" t="str">
        <f t="shared" si="5"/>
        <v>Low</v>
      </c>
    </row>
    <row r="105" spans="1:14" x14ac:dyDescent="0.35">
      <c r="A105">
        <v>1500521673</v>
      </c>
      <c r="B105" s="1">
        <v>42935</v>
      </c>
      <c r="C105" t="s">
        <v>11</v>
      </c>
      <c r="D105" t="s">
        <v>87</v>
      </c>
      <c r="E105" t="s">
        <v>89</v>
      </c>
      <c r="F105" t="s">
        <v>16</v>
      </c>
      <c r="G105" t="s">
        <v>90</v>
      </c>
      <c r="H105" s="2">
        <v>22</v>
      </c>
      <c r="I105" s="2">
        <v>1</v>
      </c>
      <c r="J105" s="3">
        <v>9.99</v>
      </c>
      <c r="K105" t="s">
        <v>13</v>
      </c>
      <c r="L105" s="3">
        <f t="shared" si="3"/>
        <v>0.4540909090909091</v>
      </c>
      <c r="M105" t="str">
        <f t="shared" si="4"/>
        <v>Wednesday</v>
      </c>
      <c r="N105" t="str">
        <f t="shared" si="5"/>
        <v>Low</v>
      </c>
    </row>
    <row r="106" spans="1:14" x14ac:dyDescent="0.35">
      <c r="A106">
        <v>1477602078</v>
      </c>
      <c r="B106" s="1">
        <v>42670</v>
      </c>
      <c r="C106" t="s">
        <v>11</v>
      </c>
      <c r="D106" t="s">
        <v>25</v>
      </c>
      <c r="E106" t="s">
        <v>89</v>
      </c>
      <c r="F106" t="s">
        <v>12</v>
      </c>
      <c r="G106" t="s">
        <v>90</v>
      </c>
      <c r="H106" s="2">
        <v>45</v>
      </c>
      <c r="I106" s="2">
        <v>1</v>
      </c>
      <c r="J106" s="3">
        <v>9.99</v>
      </c>
      <c r="K106" t="s">
        <v>13</v>
      </c>
      <c r="L106" s="3">
        <f t="shared" si="3"/>
        <v>0.222</v>
      </c>
      <c r="M106" t="str">
        <f t="shared" si="4"/>
        <v>Thursday</v>
      </c>
      <c r="N106" t="str">
        <f t="shared" si="5"/>
        <v>Low</v>
      </c>
    </row>
    <row r="107" spans="1:14" x14ac:dyDescent="0.35">
      <c r="A107">
        <v>1494566139</v>
      </c>
      <c r="B107" s="1">
        <v>42866</v>
      </c>
      <c r="C107" t="s">
        <v>11</v>
      </c>
      <c r="D107" t="s">
        <v>87</v>
      </c>
      <c r="E107" t="s">
        <v>89</v>
      </c>
      <c r="F107" t="s">
        <v>12</v>
      </c>
      <c r="G107" t="s">
        <v>90</v>
      </c>
      <c r="H107" s="2">
        <v>15</v>
      </c>
      <c r="I107" s="2">
        <v>1</v>
      </c>
      <c r="J107" s="3">
        <v>9.99</v>
      </c>
      <c r="K107" t="s">
        <v>13</v>
      </c>
      <c r="L107" s="3">
        <f t="shared" si="3"/>
        <v>0.66600000000000004</v>
      </c>
      <c r="M107" t="str">
        <f t="shared" si="4"/>
        <v>Thursday</v>
      </c>
      <c r="N107" t="str">
        <f t="shared" si="5"/>
        <v>Low</v>
      </c>
    </row>
    <row r="108" spans="1:14" x14ac:dyDescent="0.35">
      <c r="A108">
        <v>1492543413</v>
      </c>
      <c r="B108" s="1">
        <v>42843</v>
      </c>
      <c r="C108" t="s">
        <v>11</v>
      </c>
      <c r="D108" t="s">
        <v>31</v>
      </c>
      <c r="E108" t="s">
        <v>89</v>
      </c>
      <c r="F108" t="s">
        <v>12</v>
      </c>
      <c r="G108" t="s">
        <v>90</v>
      </c>
      <c r="H108" s="2">
        <v>16</v>
      </c>
      <c r="I108" s="2">
        <v>1</v>
      </c>
      <c r="J108" s="3">
        <v>9.99</v>
      </c>
      <c r="K108" t="s">
        <v>13</v>
      </c>
      <c r="L108" s="3">
        <f t="shared" si="3"/>
        <v>0.62437500000000001</v>
      </c>
      <c r="M108" t="str">
        <f t="shared" si="4"/>
        <v>Tuesday</v>
      </c>
      <c r="N108" t="str">
        <f t="shared" si="5"/>
        <v>Low</v>
      </c>
    </row>
    <row r="109" spans="1:14" x14ac:dyDescent="0.35">
      <c r="A109">
        <v>1489510122</v>
      </c>
      <c r="B109" s="1">
        <v>42808</v>
      </c>
      <c r="C109" t="s">
        <v>11</v>
      </c>
      <c r="D109" t="s">
        <v>14</v>
      </c>
      <c r="E109" t="s">
        <v>89</v>
      </c>
      <c r="F109" t="s">
        <v>12</v>
      </c>
      <c r="G109" t="s">
        <v>90</v>
      </c>
      <c r="H109" s="2">
        <v>16</v>
      </c>
      <c r="I109" s="2">
        <v>1</v>
      </c>
      <c r="J109" s="3">
        <v>9.99</v>
      </c>
      <c r="K109" t="s">
        <v>13</v>
      </c>
      <c r="L109" s="3">
        <f t="shared" si="3"/>
        <v>0.62437500000000001</v>
      </c>
      <c r="M109" t="str">
        <f t="shared" si="4"/>
        <v>Tuesday</v>
      </c>
      <c r="N109" t="str">
        <f t="shared" si="5"/>
        <v>Low</v>
      </c>
    </row>
    <row r="110" spans="1:14" x14ac:dyDescent="0.35">
      <c r="A110">
        <v>1473386859</v>
      </c>
      <c r="B110" s="1">
        <v>42621</v>
      </c>
      <c r="C110" t="s">
        <v>11</v>
      </c>
      <c r="D110" t="s">
        <v>87</v>
      </c>
      <c r="E110" t="s">
        <v>89</v>
      </c>
      <c r="F110" t="s">
        <v>12</v>
      </c>
      <c r="G110" t="s">
        <v>90</v>
      </c>
      <c r="H110" s="2">
        <v>43</v>
      </c>
      <c r="I110" s="2">
        <v>1</v>
      </c>
      <c r="J110" s="3">
        <v>9.99</v>
      </c>
      <c r="K110" t="s">
        <v>13</v>
      </c>
      <c r="L110" s="3">
        <f t="shared" si="3"/>
        <v>0.23232558139534884</v>
      </c>
      <c r="M110" t="str">
        <f t="shared" si="4"/>
        <v>Thursday</v>
      </c>
      <c r="N110" t="str">
        <f t="shared" si="5"/>
        <v>Low</v>
      </c>
    </row>
    <row r="111" spans="1:14" x14ac:dyDescent="0.35">
      <c r="A111">
        <v>1471402244</v>
      </c>
      <c r="B111" s="1">
        <v>42598</v>
      </c>
      <c r="C111" t="s">
        <v>11</v>
      </c>
      <c r="D111" t="s">
        <v>25</v>
      </c>
      <c r="E111" t="s">
        <v>89</v>
      </c>
      <c r="F111" t="s">
        <v>16</v>
      </c>
      <c r="G111" t="s">
        <v>90</v>
      </c>
      <c r="H111" s="2">
        <v>30</v>
      </c>
      <c r="I111" s="2">
        <v>1</v>
      </c>
      <c r="J111" s="3">
        <v>10.26</v>
      </c>
      <c r="K111" t="s">
        <v>13</v>
      </c>
      <c r="L111" s="3">
        <f t="shared" si="3"/>
        <v>0.34199999999999997</v>
      </c>
      <c r="M111" t="str">
        <f t="shared" si="4"/>
        <v>Tuesday</v>
      </c>
      <c r="N111" t="str">
        <f t="shared" si="5"/>
        <v>Low</v>
      </c>
    </row>
    <row r="112" spans="1:14" x14ac:dyDescent="0.35">
      <c r="A112">
        <v>1500441678</v>
      </c>
      <c r="B112" s="1">
        <v>42934</v>
      </c>
      <c r="C112" t="s">
        <v>11</v>
      </c>
      <c r="D112" t="s">
        <v>87</v>
      </c>
      <c r="E112" t="s">
        <v>89</v>
      </c>
      <c r="F112" t="s">
        <v>12</v>
      </c>
      <c r="G112" t="s">
        <v>90</v>
      </c>
      <c r="H112" s="2">
        <v>18</v>
      </c>
      <c r="I112" s="2">
        <v>1</v>
      </c>
      <c r="J112" s="3">
        <v>10.48</v>
      </c>
      <c r="K112" t="s">
        <v>13</v>
      </c>
      <c r="L112" s="3">
        <f t="shared" si="3"/>
        <v>0.5822222222222222</v>
      </c>
      <c r="M112" t="str">
        <f t="shared" si="4"/>
        <v>Tuesday</v>
      </c>
      <c r="N112" t="str">
        <f t="shared" si="5"/>
        <v>Low</v>
      </c>
    </row>
    <row r="113" spans="1:14" x14ac:dyDescent="0.35">
      <c r="A113">
        <v>1483463514</v>
      </c>
      <c r="B113" s="1">
        <v>42738</v>
      </c>
      <c r="C113" t="s">
        <v>32</v>
      </c>
      <c r="D113" t="s">
        <v>87</v>
      </c>
      <c r="E113" t="s">
        <v>89</v>
      </c>
      <c r="F113" t="s">
        <v>12</v>
      </c>
      <c r="G113" t="s">
        <v>91</v>
      </c>
      <c r="H113" s="2">
        <v>21</v>
      </c>
      <c r="I113" s="2">
        <v>1</v>
      </c>
      <c r="J113" s="3">
        <v>10.5</v>
      </c>
      <c r="K113" t="s">
        <v>13</v>
      </c>
      <c r="L113" s="3">
        <f t="shared" si="3"/>
        <v>0.5</v>
      </c>
      <c r="M113" t="str">
        <f t="shared" si="4"/>
        <v>Tuesday</v>
      </c>
      <c r="N113" t="str">
        <f t="shared" si="5"/>
        <v>Low</v>
      </c>
    </row>
    <row r="114" spans="1:14" x14ac:dyDescent="0.35">
      <c r="A114">
        <v>1481928277</v>
      </c>
      <c r="B114" s="1">
        <v>42720</v>
      </c>
      <c r="C114" t="s">
        <v>11</v>
      </c>
      <c r="D114" t="s">
        <v>87</v>
      </c>
      <c r="E114" t="s">
        <v>89</v>
      </c>
      <c r="F114" t="s">
        <v>26</v>
      </c>
      <c r="G114" t="s">
        <v>91</v>
      </c>
      <c r="H114" s="2">
        <v>13</v>
      </c>
      <c r="I114" s="2">
        <v>1</v>
      </c>
      <c r="J114" s="3">
        <v>10.97</v>
      </c>
      <c r="K114" t="s">
        <v>13</v>
      </c>
      <c r="L114" s="3">
        <f t="shared" si="3"/>
        <v>0.84384615384615391</v>
      </c>
      <c r="M114" t="str">
        <f t="shared" si="4"/>
        <v>Friday</v>
      </c>
      <c r="N114" t="str">
        <f t="shared" si="5"/>
        <v>Low</v>
      </c>
    </row>
    <row r="115" spans="1:14" x14ac:dyDescent="0.35">
      <c r="A115">
        <v>1486571256</v>
      </c>
      <c r="B115" s="1">
        <v>42774</v>
      </c>
      <c r="C115" t="s">
        <v>11</v>
      </c>
      <c r="D115" t="s">
        <v>14</v>
      </c>
      <c r="E115" t="s">
        <v>89</v>
      </c>
      <c r="F115" t="s">
        <v>16</v>
      </c>
      <c r="G115" t="s">
        <v>91</v>
      </c>
      <c r="H115" s="2">
        <v>14</v>
      </c>
      <c r="I115" s="2">
        <v>1</v>
      </c>
      <c r="J115" s="3">
        <v>10.99</v>
      </c>
      <c r="K115" t="s">
        <v>13</v>
      </c>
      <c r="L115" s="3">
        <f t="shared" si="3"/>
        <v>0.78500000000000003</v>
      </c>
      <c r="M115" t="str">
        <f t="shared" si="4"/>
        <v>Wednesday</v>
      </c>
      <c r="N115" t="str">
        <f t="shared" si="5"/>
        <v>Low</v>
      </c>
    </row>
    <row r="116" spans="1:14" x14ac:dyDescent="0.35">
      <c r="A116">
        <v>1484443678</v>
      </c>
      <c r="B116" s="1">
        <v>42749</v>
      </c>
      <c r="C116" t="s">
        <v>11</v>
      </c>
      <c r="D116" t="s">
        <v>87</v>
      </c>
      <c r="E116" t="s">
        <v>89</v>
      </c>
      <c r="F116" t="s">
        <v>16</v>
      </c>
      <c r="G116" t="s">
        <v>91</v>
      </c>
      <c r="H116" s="2">
        <v>27</v>
      </c>
      <c r="I116" s="2">
        <v>1</v>
      </c>
      <c r="J116" s="3">
        <v>10.99</v>
      </c>
      <c r="K116" t="s">
        <v>13</v>
      </c>
      <c r="L116" s="3">
        <f t="shared" si="3"/>
        <v>0.40703703703703703</v>
      </c>
      <c r="M116" t="str">
        <f t="shared" si="4"/>
        <v>Saturday</v>
      </c>
      <c r="N116" t="str">
        <f t="shared" si="5"/>
        <v>Low</v>
      </c>
    </row>
    <row r="117" spans="1:14" x14ac:dyDescent="0.35">
      <c r="A117">
        <v>1475323821</v>
      </c>
      <c r="B117" s="1">
        <v>42644</v>
      </c>
      <c r="C117" t="s">
        <v>11</v>
      </c>
      <c r="D117" t="s">
        <v>25</v>
      </c>
      <c r="E117" t="s">
        <v>89</v>
      </c>
      <c r="F117" t="s">
        <v>12</v>
      </c>
      <c r="G117" t="s">
        <v>90</v>
      </c>
      <c r="H117" s="2">
        <v>16</v>
      </c>
      <c r="I117" s="2">
        <v>1</v>
      </c>
      <c r="J117" s="3">
        <v>10.99</v>
      </c>
      <c r="K117" t="s">
        <v>13</v>
      </c>
      <c r="L117" s="3">
        <f t="shared" si="3"/>
        <v>0.68687500000000001</v>
      </c>
      <c r="M117" t="str">
        <f t="shared" si="4"/>
        <v>Saturday</v>
      </c>
      <c r="N117" t="str">
        <f t="shared" si="5"/>
        <v>Low</v>
      </c>
    </row>
    <row r="118" spans="1:14" x14ac:dyDescent="0.35">
      <c r="A118">
        <v>1495141083</v>
      </c>
      <c r="B118" s="1">
        <v>42873</v>
      </c>
      <c r="C118" t="s">
        <v>11</v>
      </c>
      <c r="D118" t="s">
        <v>17</v>
      </c>
      <c r="E118" t="s">
        <v>89</v>
      </c>
      <c r="F118" t="s">
        <v>16</v>
      </c>
      <c r="G118" t="s">
        <v>90</v>
      </c>
      <c r="H118" s="2">
        <v>16</v>
      </c>
      <c r="I118" s="2">
        <v>1</v>
      </c>
      <c r="J118" s="3">
        <v>10.99</v>
      </c>
      <c r="K118" t="s">
        <v>13</v>
      </c>
      <c r="L118" s="3">
        <f t="shared" si="3"/>
        <v>0.68687500000000001</v>
      </c>
      <c r="M118" t="str">
        <f t="shared" si="4"/>
        <v>Thursday</v>
      </c>
      <c r="N118" t="str">
        <f t="shared" si="5"/>
        <v>Low</v>
      </c>
    </row>
    <row r="119" spans="1:14" x14ac:dyDescent="0.35">
      <c r="A119">
        <v>1485484006</v>
      </c>
      <c r="B119" s="1">
        <v>42761</v>
      </c>
      <c r="C119" t="s">
        <v>11</v>
      </c>
      <c r="D119" t="s">
        <v>33</v>
      </c>
      <c r="E119" t="s">
        <v>89</v>
      </c>
      <c r="F119" t="s">
        <v>16</v>
      </c>
      <c r="G119" t="s">
        <v>91</v>
      </c>
      <c r="H119" s="2">
        <v>10</v>
      </c>
      <c r="I119" s="2">
        <v>1</v>
      </c>
      <c r="J119" s="3">
        <v>10.99</v>
      </c>
      <c r="K119" t="s">
        <v>13</v>
      </c>
      <c r="L119" s="3">
        <f t="shared" si="3"/>
        <v>1.099</v>
      </c>
      <c r="M119" t="str">
        <f t="shared" si="4"/>
        <v>Thursday</v>
      </c>
      <c r="N119" t="str">
        <f t="shared" si="5"/>
        <v>Low</v>
      </c>
    </row>
    <row r="120" spans="1:14" x14ac:dyDescent="0.35">
      <c r="A120">
        <v>1480619584</v>
      </c>
      <c r="B120" s="1">
        <v>42705</v>
      </c>
      <c r="C120" t="s">
        <v>11</v>
      </c>
      <c r="D120" t="s">
        <v>87</v>
      </c>
      <c r="E120" t="s">
        <v>89</v>
      </c>
      <c r="F120" t="s">
        <v>12</v>
      </c>
      <c r="G120" t="s">
        <v>91</v>
      </c>
      <c r="H120" s="2">
        <v>25</v>
      </c>
      <c r="I120" s="2">
        <v>1</v>
      </c>
      <c r="J120" s="3">
        <v>10.99</v>
      </c>
      <c r="K120" t="s">
        <v>13</v>
      </c>
      <c r="L120" s="3">
        <f t="shared" si="3"/>
        <v>0.43959999999999999</v>
      </c>
      <c r="M120" t="str">
        <f t="shared" si="4"/>
        <v>Thursday</v>
      </c>
      <c r="N120" t="str">
        <f t="shared" si="5"/>
        <v>Low</v>
      </c>
    </row>
    <row r="121" spans="1:14" x14ac:dyDescent="0.35">
      <c r="A121">
        <v>1493586054</v>
      </c>
      <c r="B121" s="1">
        <v>42855</v>
      </c>
      <c r="C121" t="s">
        <v>11</v>
      </c>
      <c r="D121" t="s">
        <v>87</v>
      </c>
      <c r="E121" t="s">
        <v>89</v>
      </c>
      <c r="F121" t="s">
        <v>12</v>
      </c>
      <c r="G121" t="s">
        <v>90</v>
      </c>
      <c r="H121" s="2">
        <v>37</v>
      </c>
      <c r="I121" s="2">
        <v>1</v>
      </c>
      <c r="J121" s="3">
        <v>10.99</v>
      </c>
      <c r="K121" t="s">
        <v>13</v>
      </c>
      <c r="L121" s="3">
        <f t="shared" si="3"/>
        <v>0.29702702702702705</v>
      </c>
      <c r="M121" t="str">
        <f t="shared" si="4"/>
        <v>Sunday</v>
      </c>
      <c r="N121" t="str">
        <f t="shared" si="5"/>
        <v>Low</v>
      </c>
    </row>
    <row r="122" spans="1:14" x14ac:dyDescent="0.35">
      <c r="A122">
        <v>1493316740</v>
      </c>
      <c r="B122" s="1">
        <v>42852</v>
      </c>
      <c r="C122" t="s">
        <v>11</v>
      </c>
      <c r="D122" t="s">
        <v>18</v>
      </c>
      <c r="E122" t="s">
        <v>89</v>
      </c>
      <c r="F122" t="s">
        <v>12</v>
      </c>
      <c r="G122" t="s">
        <v>91</v>
      </c>
      <c r="H122" s="2">
        <v>40</v>
      </c>
      <c r="I122" s="2">
        <v>1</v>
      </c>
      <c r="J122" s="3">
        <v>10.99</v>
      </c>
      <c r="K122" t="s">
        <v>13</v>
      </c>
      <c r="L122" s="3">
        <f t="shared" si="3"/>
        <v>0.27474999999999999</v>
      </c>
      <c r="M122" t="str">
        <f t="shared" si="4"/>
        <v>Thursday</v>
      </c>
      <c r="N122" t="str">
        <f t="shared" si="5"/>
        <v>Low</v>
      </c>
    </row>
    <row r="123" spans="1:14" x14ac:dyDescent="0.35">
      <c r="A123">
        <v>1489028491</v>
      </c>
      <c r="B123" s="1">
        <v>42802</v>
      </c>
      <c r="C123" t="s">
        <v>11</v>
      </c>
      <c r="D123" t="s">
        <v>34</v>
      </c>
      <c r="E123" t="s">
        <v>89</v>
      </c>
      <c r="F123" t="s">
        <v>16</v>
      </c>
      <c r="G123" t="s">
        <v>90</v>
      </c>
      <c r="H123" s="2">
        <v>17</v>
      </c>
      <c r="I123" s="2">
        <v>1</v>
      </c>
      <c r="J123" s="3">
        <v>10.99</v>
      </c>
      <c r="K123" t="s">
        <v>13</v>
      </c>
      <c r="L123" s="3">
        <f t="shared" si="3"/>
        <v>0.64647058823529413</v>
      </c>
      <c r="M123" t="str">
        <f t="shared" si="4"/>
        <v>Wednesday</v>
      </c>
      <c r="N123" t="str">
        <f t="shared" si="5"/>
        <v>Low</v>
      </c>
    </row>
    <row r="124" spans="1:14" x14ac:dyDescent="0.35">
      <c r="A124">
        <v>1478047480</v>
      </c>
      <c r="B124" s="1">
        <v>42675</v>
      </c>
      <c r="C124" t="s">
        <v>11</v>
      </c>
      <c r="D124" t="s">
        <v>87</v>
      </c>
      <c r="E124" t="s">
        <v>89</v>
      </c>
      <c r="F124" t="s">
        <v>16</v>
      </c>
      <c r="G124" t="s">
        <v>91</v>
      </c>
      <c r="H124" s="2">
        <v>9</v>
      </c>
      <c r="I124" s="2">
        <v>1</v>
      </c>
      <c r="J124" s="3">
        <v>10.99</v>
      </c>
      <c r="K124" t="s">
        <v>13</v>
      </c>
      <c r="L124" s="3">
        <f t="shared" si="3"/>
        <v>1.221111111111111</v>
      </c>
      <c r="M124" t="str">
        <f t="shared" si="4"/>
        <v>Tuesday</v>
      </c>
      <c r="N124" t="str">
        <f t="shared" si="5"/>
        <v>Low</v>
      </c>
    </row>
    <row r="125" spans="1:14" x14ac:dyDescent="0.35">
      <c r="A125">
        <v>1484515591</v>
      </c>
      <c r="B125" s="1">
        <v>42750</v>
      </c>
      <c r="C125" t="s">
        <v>11</v>
      </c>
      <c r="D125" t="s">
        <v>20</v>
      </c>
      <c r="E125" t="s">
        <v>89</v>
      </c>
      <c r="F125" t="s">
        <v>12</v>
      </c>
      <c r="G125" t="s">
        <v>91</v>
      </c>
      <c r="H125" s="2">
        <v>38</v>
      </c>
      <c r="I125" s="2">
        <v>1</v>
      </c>
      <c r="J125" s="3">
        <v>10.99</v>
      </c>
      <c r="K125" t="s">
        <v>13</v>
      </c>
      <c r="L125" s="3">
        <f t="shared" si="3"/>
        <v>0.28921052631578947</v>
      </c>
      <c r="M125" t="str">
        <f t="shared" si="4"/>
        <v>Sunday</v>
      </c>
      <c r="N125" t="str">
        <f t="shared" si="5"/>
        <v>Low</v>
      </c>
    </row>
    <row r="126" spans="1:14" x14ac:dyDescent="0.35">
      <c r="A126">
        <v>1478133140</v>
      </c>
      <c r="B126" s="1">
        <v>42676</v>
      </c>
      <c r="C126" t="s">
        <v>11</v>
      </c>
      <c r="D126" t="s">
        <v>14</v>
      </c>
      <c r="E126" t="s">
        <v>89</v>
      </c>
      <c r="F126" t="s">
        <v>12</v>
      </c>
      <c r="G126" t="s">
        <v>91</v>
      </c>
      <c r="H126" s="2">
        <v>21</v>
      </c>
      <c r="I126" s="2">
        <v>1</v>
      </c>
      <c r="J126" s="3">
        <v>10.99</v>
      </c>
      <c r="K126" t="s">
        <v>13</v>
      </c>
      <c r="L126" s="3">
        <f t="shared" si="3"/>
        <v>0.52333333333333332</v>
      </c>
      <c r="M126" t="str">
        <f t="shared" si="4"/>
        <v>Wednesday</v>
      </c>
      <c r="N126" t="str">
        <f t="shared" si="5"/>
        <v>Low</v>
      </c>
    </row>
    <row r="127" spans="1:14" x14ac:dyDescent="0.35">
      <c r="A127">
        <v>1497745953</v>
      </c>
      <c r="B127" s="1">
        <v>42903</v>
      </c>
      <c r="C127" t="s">
        <v>11</v>
      </c>
      <c r="D127" t="s">
        <v>87</v>
      </c>
      <c r="E127" t="s">
        <v>89</v>
      </c>
      <c r="F127" t="s">
        <v>16</v>
      </c>
      <c r="G127" t="s">
        <v>91</v>
      </c>
      <c r="H127" s="2">
        <v>18</v>
      </c>
      <c r="I127" s="2">
        <v>1</v>
      </c>
      <c r="J127" s="3">
        <v>10.99</v>
      </c>
      <c r="K127" t="s">
        <v>13</v>
      </c>
      <c r="L127" s="3">
        <f t="shared" si="3"/>
        <v>0.61055555555555552</v>
      </c>
      <c r="M127" t="str">
        <f t="shared" si="4"/>
        <v>Saturday</v>
      </c>
      <c r="N127" t="str">
        <f t="shared" si="5"/>
        <v>Low</v>
      </c>
    </row>
    <row r="128" spans="1:14" x14ac:dyDescent="0.35">
      <c r="A128">
        <v>1489722625</v>
      </c>
      <c r="B128" s="1">
        <v>42810</v>
      </c>
      <c r="C128" t="s">
        <v>11</v>
      </c>
      <c r="D128" t="s">
        <v>87</v>
      </c>
      <c r="E128" t="s">
        <v>89</v>
      </c>
      <c r="F128" t="s">
        <v>12</v>
      </c>
      <c r="G128" t="s">
        <v>90</v>
      </c>
      <c r="H128" s="2">
        <v>13</v>
      </c>
      <c r="I128" s="2">
        <v>1</v>
      </c>
      <c r="J128" s="3">
        <v>10.99</v>
      </c>
      <c r="K128" t="s">
        <v>13</v>
      </c>
      <c r="L128" s="3">
        <f t="shared" si="3"/>
        <v>0.8453846153846154</v>
      </c>
      <c r="M128" t="str">
        <f t="shared" si="4"/>
        <v>Thursday</v>
      </c>
      <c r="N128" t="str">
        <f t="shared" si="5"/>
        <v>Low</v>
      </c>
    </row>
    <row r="129" spans="1:14" x14ac:dyDescent="0.35">
      <c r="A129">
        <v>1492586329</v>
      </c>
      <c r="B129" s="1">
        <v>42844</v>
      </c>
      <c r="C129" t="s">
        <v>11</v>
      </c>
      <c r="D129" t="s">
        <v>87</v>
      </c>
      <c r="E129" t="s">
        <v>89</v>
      </c>
      <c r="F129" t="s">
        <v>12</v>
      </c>
      <c r="G129" t="s">
        <v>90</v>
      </c>
      <c r="H129" s="2">
        <v>13</v>
      </c>
      <c r="I129" s="2">
        <v>1</v>
      </c>
      <c r="J129" s="3">
        <v>10.99</v>
      </c>
      <c r="K129" t="s">
        <v>13</v>
      </c>
      <c r="L129" s="3">
        <f t="shared" si="3"/>
        <v>0.8453846153846154</v>
      </c>
      <c r="M129" t="str">
        <f t="shared" si="4"/>
        <v>Wednesday</v>
      </c>
      <c r="N129" t="str">
        <f t="shared" si="5"/>
        <v>Low</v>
      </c>
    </row>
    <row r="130" spans="1:14" x14ac:dyDescent="0.35">
      <c r="A130">
        <v>1488695634</v>
      </c>
      <c r="B130" s="1">
        <v>42798</v>
      </c>
      <c r="C130" t="s">
        <v>35</v>
      </c>
      <c r="D130" t="s">
        <v>87</v>
      </c>
      <c r="E130" t="s">
        <v>89</v>
      </c>
      <c r="F130" t="s">
        <v>16</v>
      </c>
      <c r="G130" t="s">
        <v>90</v>
      </c>
      <c r="H130" s="2">
        <v>16</v>
      </c>
      <c r="I130" s="2">
        <v>1</v>
      </c>
      <c r="J130" s="3">
        <v>10.99</v>
      </c>
      <c r="K130" t="s">
        <v>13</v>
      </c>
      <c r="L130" s="3">
        <f t="shared" si="3"/>
        <v>0.68687500000000001</v>
      </c>
      <c r="M130" t="str">
        <f t="shared" si="4"/>
        <v>Saturday</v>
      </c>
      <c r="N130" t="str">
        <f t="shared" si="5"/>
        <v>Low</v>
      </c>
    </row>
    <row r="131" spans="1:14" x14ac:dyDescent="0.35">
      <c r="A131">
        <v>1486068695</v>
      </c>
      <c r="B131" s="1">
        <v>42768</v>
      </c>
      <c r="C131" t="s">
        <v>11</v>
      </c>
      <c r="D131" t="s">
        <v>87</v>
      </c>
      <c r="E131" t="s">
        <v>89</v>
      </c>
      <c r="F131" t="s">
        <v>16</v>
      </c>
      <c r="G131" t="s">
        <v>91</v>
      </c>
      <c r="H131" s="2">
        <v>20</v>
      </c>
      <c r="I131" s="2">
        <v>1</v>
      </c>
      <c r="J131" s="3">
        <v>10.99</v>
      </c>
      <c r="K131" t="s">
        <v>13</v>
      </c>
      <c r="L131" s="3">
        <f t="shared" ref="L131:L194" si="6">J131/H131</f>
        <v>0.54949999999999999</v>
      </c>
      <c r="M131" t="str">
        <f t="shared" ref="M131:M194" si="7">TEXT(B131, "dddd")</f>
        <v>Thursday</v>
      </c>
      <c r="N131" t="str">
        <f t="shared" ref="N131:N194" si="8">IF(J131&gt;200,"High",IF(J131&gt;=20,"Medium","Low"))</f>
        <v>Low</v>
      </c>
    </row>
    <row r="132" spans="1:14" x14ac:dyDescent="0.35">
      <c r="A132">
        <v>1484413414</v>
      </c>
      <c r="B132" s="1">
        <v>42749</v>
      </c>
      <c r="C132" t="s">
        <v>11</v>
      </c>
      <c r="D132" t="s">
        <v>87</v>
      </c>
      <c r="E132" t="s">
        <v>89</v>
      </c>
      <c r="F132" t="s">
        <v>16</v>
      </c>
      <c r="G132" t="s">
        <v>91</v>
      </c>
      <c r="H132" s="2">
        <v>25</v>
      </c>
      <c r="I132" s="2">
        <v>1</v>
      </c>
      <c r="J132" s="3">
        <v>10.99</v>
      </c>
      <c r="K132" t="s">
        <v>13</v>
      </c>
      <c r="L132" s="3">
        <f t="shared" si="6"/>
        <v>0.43959999999999999</v>
      </c>
      <c r="M132" t="str">
        <f t="shared" si="7"/>
        <v>Saturday</v>
      </c>
      <c r="N132" t="str">
        <f t="shared" si="8"/>
        <v>Low</v>
      </c>
    </row>
    <row r="133" spans="1:14" x14ac:dyDescent="0.35">
      <c r="A133">
        <v>1489593423</v>
      </c>
      <c r="B133" s="1">
        <v>42809</v>
      </c>
      <c r="C133" t="s">
        <v>11</v>
      </c>
      <c r="D133" t="s">
        <v>18</v>
      </c>
      <c r="E133" t="s">
        <v>89</v>
      </c>
      <c r="F133" t="s">
        <v>16</v>
      </c>
      <c r="G133" t="s">
        <v>90</v>
      </c>
      <c r="H133" s="2">
        <v>14</v>
      </c>
      <c r="I133" s="2">
        <v>1</v>
      </c>
      <c r="J133" s="3">
        <v>10.99</v>
      </c>
      <c r="K133" t="s">
        <v>13</v>
      </c>
      <c r="L133" s="3">
        <f t="shared" si="6"/>
        <v>0.78500000000000003</v>
      </c>
      <c r="M133" t="str">
        <f t="shared" si="7"/>
        <v>Wednesday</v>
      </c>
      <c r="N133" t="str">
        <f t="shared" si="8"/>
        <v>Low</v>
      </c>
    </row>
    <row r="134" spans="1:14" x14ac:dyDescent="0.35">
      <c r="A134">
        <v>1482178410</v>
      </c>
      <c r="B134" s="1">
        <v>42723</v>
      </c>
      <c r="C134" t="s">
        <v>11</v>
      </c>
      <c r="D134" t="s">
        <v>87</v>
      </c>
      <c r="E134" t="s">
        <v>89</v>
      </c>
      <c r="F134" t="s">
        <v>16</v>
      </c>
      <c r="G134" t="s">
        <v>91</v>
      </c>
      <c r="H134" s="2">
        <v>15</v>
      </c>
      <c r="I134" s="2">
        <v>1</v>
      </c>
      <c r="J134" s="3">
        <v>10.99</v>
      </c>
      <c r="K134" t="s">
        <v>13</v>
      </c>
      <c r="L134" s="3">
        <f t="shared" si="6"/>
        <v>0.73266666666666669</v>
      </c>
      <c r="M134" t="str">
        <f t="shared" si="7"/>
        <v>Monday</v>
      </c>
      <c r="N134" t="str">
        <f t="shared" si="8"/>
        <v>Low</v>
      </c>
    </row>
    <row r="135" spans="1:14" x14ac:dyDescent="0.35">
      <c r="A135">
        <v>1491605027</v>
      </c>
      <c r="B135" s="1">
        <v>42832</v>
      </c>
      <c r="C135" t="s">
        <v>11</v>
      </c>
      <c r="D135" t="s">
        <v>87</v>
      </c>
      <c r="E135" t="s">
        <v>89</v>
      </c>
      <c r="F135" t="s">
        <v>12</v>
      </c>
      <c r="G135" t="s">
        <v>90</v>
      </c>
      <c r="H135" s="2">
        <v>35</v>
      </c>
      <c r="I135" s="2">
        <v>1</v>
      </c>
      <c r="J135" s="3">
        <v>10.99</v>
      </c>
      <c r="K135" t="s">
        <v>13</v>
      </c>
      <c r="L135" s="3">
        <f t="shared" si="6"/>
        <v>0.314</v>
      </c>
      <c r="M135" t="str">
        <f t="shared" si="7"/>
        <v>Friday</v>
      </c>
      <c r="N135" t="str">
        <f t="shared" si="8"/>
        <v>Low</v>
      </c>
    </row>
    <row r="136" spans="1:14" x14ac:dyDescent="0.35">
      <c r="A136">
        <v>1499575804</v>
      </c>
      <c r="B136" s="1">
        <v>42924</v>
      </c>
      <c r="C136" t="s">
        <v>11</v>
      </c>
      <c r="D136" t="s">
        <v>28</v>
      </c>
      <c r="E136" t="s">
        <v>89</v>
      </c>
      <c r="F136" t="s">
        <v>16</v>
      </c>
      <c r="G136" t="s">
        <v>90</v>
      </c>
      <c r="H136" s="2">
        <v>13</v>
      </c>
      <c r="I136" s="2">
        <v>1</v>
      </c>
      <c r="J136" s="3">
        <v>10.99</v>
      </c>
      <c r="K136" t="s">
        <v>13</v>
      </c>
      <c r="L136" s="3">
        <f t="shared" si="6"/>
        <v>0.8453846153846154</v>
      </c>
      <c r="M136" t="str">
        <f t="shared" si="7"/>
        <v>Saturday</v>
      </c>
      <c r="N136" t="str">
        <f t="shared" si="8"/>
        <v>Low</v>
      </c>
    </row>
    <row r="137" spans="1:14" x14ac:dyDescent="0.35">
      <c r="A137">
        <v>1482206313</v>
      </c>
      <c r="B137" s="1">
        <v>42723</v>
      </c>
      <c r="C137" t="s">
        <v>11</v>
      </c>
      <c r="D137" t="s">
        <v>87</v>
      </c>
      <c r="E137" t="s">
        <v>89</v>
      </c>
      <c r="F137" t="s">
        <v>12</v>
      </c>
      <c r="G137" t="s">
        <v>91</v>
      </c>
      <c r="H137" s="2">
        <v>10</v>
      </c>
      <c r="I137" s="2">
        <v>1</v>
      </c>
      <c r="J137" s="3">
        <v>10.99</v>
      </c>
      <c r="K137" t="s">
        <v>13</v>
      </c>
      <c r="L137" s="3">
        <f t="shared" si="6"/>
        <v>1.099</v>
      </c>
      <c r="M137" t="str">
        <f t="shared" si="7"/>
        <v>Monday</v>
      </c>
      <c r="N137" t="str">
        <f t="shared" si="8"/>
        <v>Low</v>
      </c>
    </row>
    <row r="138" spans="1:14" x14ac:dyDescent="0.35">
      <c r="A138">
        <v>1500926348</v>
      </c>
      <c r="B138" s="1">
        <v>42940</v>
      </c>
      <c r="C138" t="s">
        <v>11</v>
      </c>
      <c r="D138" t="s">
        <v>87</v>
      </c>
      <c r="E138" t="s">
        <v>89</v>
      </c>
      <c r="F138" t="s">
        <v>12</v>
      </c>
      <c r="G138" t="s">
        <v>90</v>
      </c>
      <c r="H138" s="2">
        <v>17</v>
      </c>
      <c r="I138" s="2">
        <v>1</v>
      </c>
      <c r="J138" s="3">
        <v>10.99</v>
      </c>
      <c r="K138" t="s">
        <v>13</v>
      </c>
      <c r="L138" s="3">
        <f t="shared" si="6"/>
        <v>0.64647058823529413</v>
      </c>
      <c r="M138" t="str">
        <f t="shared" si="7"/>
        <v>Monday</v>
      </c>
      <c r="N138" t="str">
        <f t="shared" si="8"/>
        <v>Low</v>
      </c>
    </row>
    <row r="139" spans="1:14" x14ac:dyDescent="0.35">
      <c r="A139">
        <v>1499575593</v>
      </c>
      <c r="B139" s="1">
        <v>42924</v>
      </c>
      <c r="C139" t="s">
        <v>11</v>
      </c>
      <c r="D139" t="s">
        <v>28</v>
      </c>
      <c r="E139" t="s">
        <v>89</v>
      </c>
      <c r="F139" t="s">
        <v>16</v>
      </c>
      <c r="G139" t="s">
        <v>90</v>
      </c>
      <c r="H139" s="2">
        <v>13</v>
      </c>
      <c r="I139" s="2">
        <v>1</v>
      </c>
      <c r="J139" s="3">
        <v>10.99</v>
      </c>
      <c r="K139" t="s">
        <v>13</v>
      </c>
      <c r="L139" s="3">
        <f t="shared" si="6"/>
        <v>0.8453846153846154</v>
      </c>
      <c r="M139" t="str">
        <f t="shared" si="7"/>
        <v>Saturday</v>
      </c>
      <c r="N139" t="str">
        <f t="shared" si="8"/>
        <v>Low</v>
      </c>
    </row>
    <row r="140" spans="1:14" x14ac:dyDescent="0.35">
      <c r="A140">
        <v>1491164926</v>
      </c>
      <c r="B140" s="1">
        <v>42827</v>
      </c>
      <c r="C140" t="s">
        <v>11</v>
      </c>
      <c r="D140" t="s">
        <v>87</v>
      </c>
      <c r="E140" t="s">
        <v>89</v>
      </c>
      <c r="F140" t="s">
        <v>12</v>
      </c>
      <c r="G140" t="s">
        <v>91</v>
      </c>
      <c r="H140" s="2">
        <v>16</v>
      </c>
      <c r="I140" s="2">
        <v>1</v>
      </c>
      <c r="J140" s="3">
        <v>10.99</v>
      </c>
      <c r="K140" t="s">
        <v>13</v>
      </c>
      <c r="L140" s="3">
        <f t="shared" si="6"/>
        <v>0.68687500000000001</v>
      </c>
      <c r="M140" t="str">
        <f t="shared" si="7"/>
        <v>Sunday</v>
      </c>
      <c r="N140" t="str">
        <f t="shared" si="8"/>
        <v>Low</v>
      </c>
    </row>
    <row r="141" spans="1:14" x14ac:dyDescent="0.35">
      <c r="A141">
        <v>1484722538</v>
      </c>
      <c r="B141" s="1">
        <v>42752</v>
      </c>
      <c r="C141" t="s">
        <v>11</v>
      </c>
      <c r="D141" t="s">
        <v>87</v>
      </c>
      <c r="E141" t="s">
        <v>89</v>
      </c>
      <c r="F141" t="s">
        <v>12</v>
      </c>
      <c r="G141" t="s">
        <v>91</v>
      </c>
      <c r="H141" s="2">
        <v>10</v>
      </c>
      <c r="I141" s="2">
        <v>1</v>
      </c>
      <c r="J141" s="3">
        <v>10.99</v>
      </c>
      <c r="K141" t="s">
        <v>13</v>
      </c>
      <c r="L141" s="3">
        <f t="shared" si="6"/>
        <v>1.099</v>
      </c>
      <c r="M141" t="str">
        <f t="shared" si="7"/>
        <v>Tuesday</v>
      </c>
      <c r="N141" t="str">
        <f t="shared" si="8"/>
        <v>Low</v>
      </c>
    </row>
    <row r="142" spans="1:14" x14ac:dyDescent="0.35">
      <c r="A142">
        <v>1485365822</v>
      </c>
      <c r="B142" s="1">
        <v>42760</v>
      </c>
      <c r="C142" t="s">
        <v>11</v>
      </c>
      <c r="D142" t="s">
        <v>18</v>
      </c>
      <c r="E142" t="s">
        <v>89</v>
      </c>
      <c r="F142" t="s">
        <v>16</v>
      </c>
      <c r="G142" t="s">
        <v>91</v>
      </c>
      <c r="H142" s="2">
        <v>11</v>
      </c>
      <c r="I142" s="2">
        <v>1</v>
      </c>
      <c r="J142" s="3">
        <v>10.99</v>
      </c>
      <c r="K142" t="s">
        <v>13</v>
      </c>
      <c r="L142" s="3">
        <f t="shared" si="6"/>
        <v>0.99909090909090914</v>
      </c>
      <c r="M142" t="str">
        <f t="shared" si="7"/>
        <v>Wednesday</v>
      </c>
      <c r="N142" t="str">
        <f t="shared" si="8"/>
        <v>Low</v>
      </c>
    </row>
    <row r="143" spans="1:14" x14ac:dyDescent="0.35">
      <c r="A143">
        <v>1486571908</v>
      </c>
      <c r="B143" s="1">
        <v>42774</v>
      </c>
      <c r="C143" t="s">
        <v>36</v>
      </c>
      <c r="D143" t="s">
        <v>88</v>
      </c>
      <c r="E143" t="s">
        <v>89</v>
      </c>
      <c r="F143" t="s">
        <v>16</v>
      </c>
      <c r="G143" t="s">
        <v>91</v>
      </c>
      <c r="H143" s="2">
        <v>15</v>
      </c>
      <c r="I143" s="2">
        <v>1</v>
      </c>
      <c r="J143" s="3">
        <v>10.99</v>
      </c>
      <c r="K143" t="s">
        <v>13</v>
      </c>
      <c r="L143" s="3">
        <f t="shared" si="6"/>
        <v>0.73266666666666669</v>
      </c>
      <c r="M143" t="str">
        <f t="shared" si="7"/>
        <v>Wednesday</v>
      </c>
      <c r="N143" t="str">
        <f t="shared" si="8"/>
        <v>Low</v>
      </c>
    </row>
    <row r="144" spans="1:14" x14ac:dyDescent="0.35">
      <c r="A144">
        <v>1490409205</v>
      </c>
      <c r="B144" s="1">
        <v>42818</v>
      </c>
      <c r="C144" t="s">
        <v>11</v>
      </c>
      <c r="D144" t="s">
        <v>14</v>
      </c>
      <c r="E144" t="s">
        <v>89</v>
      </c>
      <c r="F144" t="s">
        <v>12</v>
      </c>
      <c r="G144" t="s">
        <v>90</v>
      </c>
      <c r="H144" s="2">
        <v>32</v>
      </c>
      <c r="I144" s="2">
        <v>1</v>
      </c>
      <c r="J144" s="3">
        <v>10.99</v>
      </c>
      <c r="K144" t="s">
        <v>13</v>
      </c>
      <c r="L144" s="3">
        <f t="shared" si="6"/>
        <v>0.34343750000000001</v>
      </c>
      <c r="M144" t="str">
        <f t="shared" si="7"/>
        <v>Friday</v>
      </c>
      <c r="N144" t="str">
        <f t="shared" si="8"/>
        <v>Low</v>
      </c>
    </row>
    <row r="145" spans="1:14" x14ac:dyDescent="0.35">
      <c r="A145">
        <v>1488328765</v>
      </c>
      <c r="B145" s="1">
        <v>42794</v>
      </c>
      <c r="C145" t="s">
        <v>11</v>
      </c>
      <c r="D145" t="s">
        <v>87</v>
      </c>
      <c r="E145" t="s">
        <v>89</v>
      </c>
      <c r="F145" t="s">
        <v>16</v>
      </c>
      <c r="G145" t="s">
        <v>91</v>
      </c>
      <c r="H145" s="2">
        <v>24</v>
      </c>
      <c r="I145" s="2">
        <v>1</v>
      </c>
      <c r="J145" s="3">
        <v>10.99</v>
      </c>
      <c r="K145" t="s">
        <v>13</v>
      </c>
      <c r="L145" s="3">
        <f t="shared" si="6"/>
        <v>0.45791666666666669</v>
      </c>
      <c r="M145" t="str">
        <f t="shared" si="7"/>
        <v>Tuesday</v>
      </c>
      <c r="N145" t="str">
        <f t="shared" si="8"/>
        <v>Low</v>
      </c>
    </row>
    <row r="146" spans="1:14" x14ac:dyDescent="0.35">
      <c r="A146">
        <v>1492543092</v>
      </c>
      <c r="B146" s="1">
        <v>42843</v>
      </c>
      <c r="C146" t="s">
        <v>11</v>
      </c>
      <c r="D146" t="s">
        <v>28</v>
      </c>
      <c r="E146" t="s">
        <v>89</v>
      </c>
      <c r="F146" t="s">
        <v>16</v>
      </c>
      <c r="G146" t="s">
        <v>90</v>
      </c>
      <c r="H146" s="2">
        <v>19</v>
      </c>
      <c r="I146" s="2">
        <v>1</v>
      </c>
      <c r="J146" s="3">
        <v>11.18</v>
      </c>
      <c r="K146" t="s">
        <v>13</v>
      </c>
      <c r="L146" s="3">
        <f t="shared" si="6"/>
        <v>0.58842105263157896</v>
      </c>
      <c r="M146" t="str">
        <f t="shared" si="7"/>
        <v>Tuesday</v>
      </c>
      <c r="N146" t="str">
        <f t="shared" si="8"/>
        <v>Low</v>
      </c>
    </row>
    <row r="147" spans="1:14" x14ac:dyDescent="0.35">
      <c r="A147">
        <v>1501047204</v>
      </c>
      <c r="B147" s="1">
        <v>42941</v>
      </c>
      <c r="C147" t="s">
        <v>11</v>
      </c>
      <c r="D147" t="s">
        <v>15</v>
      </c>
      <c r="E147" t="s">
        <v>89</v>
      </c>
      <c r="F147" t="s">
        <v>16</v>
      </c>
      <c r="G147" t="s">
        <v>91</v>
      </c>
      <c r="H147" s="2">
        <v>18</v>
      </c>
      <c r="I147" s="2">
        <v>1</v>
      </c>
      <c r="J147" s="3">
        <v>11.5</v>
      </c>
      <c r="K147" t="s">
        <v>13</v>
      </c>
      <c r="L147" s="3">
        <f t="shared" si="6"/>
        <v>0.63888888888888884</v>
      </c>
      <c r="M147" t="str">
        <f t="shared" si="7"/>
        <v>Tuesday</v>
      </c>
      <c r="N147" t="str">
        <f t="shared" si="8"/>
        <v>Low</v>
      </c>
    </row>
    <row r="148" spans="1:14" x14ac:dyDescent="0.35">
      <c r="A148">
        <v>1486354894</v>
      </c>
      <c r="B148" s="1">
        <v>42771</v>
      </c>
      <c r="C148" t="s">
        <v>11</v>
      </c>
      <c r="D148" t="s">
        <v>87</v>
      </c>
      <c r="E148" t="s">
        <v>89</v>
      </c>
      <c r="F148" t="s">
        <v>16</v>
      </c>
      <c r="G148" t="s">
        <v>91</v>
      </c>
      <c r="H148" s="2">
        <v>23</v>
      </c>
      <c r="I148" s="2">
        <v>1</v>
      </c>
      <c r="J148" s="3">
        <v>11.96</v>
      </c>
      <c r="K148" t="s">
        <v>13</v>
      </c>
      <c r="L148" s="3">
        <f t="shared" si="6"/>
        <v>0.52</v>
      </c>
      <c r="M148" t="str">
        <f t="shared" si="7"/>
        <v>Sunday</v>
      </c>
      <c r="N148" t="str">
        <f t="shared" si="8"/>
        <v>Low</v>
      </c>
    </row>
    <row r="149" spans="1:14" x14ac:dyDescent="0.35">
      <c r="A149">
        <v>1488896284</v>
      </c>
      <c r="B149" s="1">
        <v>42801</v>
      </c>
      <c r="C149" t="s">
        <v>11</v>
      </c>
      <c r="D149" t="s">
        <v>14</v>
      </c>
      <c r="E149" t="s">
        <v>89</v>
      </c>
      <c r="F149" t="s">
        <v>12</v>
      </c>
      <c r="G149" t="s">
        <v>91</v>
      </c>
      <c r="H149" s="2">
        <v>8</v>
      </c>
      <c r="I149" s="2">
        <v>1</v>
      </c>
      <c r="J149" s="3">
        <v>11.96</v>
      </c>
      <c r="K149" t="s">
        <v>13</v>
      </c>
      <c r="L149" s="3">
        <f t="shared" si="6"/>
        <v>1.4950000000000001</v>
      </c>
      <c r="M149" t="str">
        <f t="shared" si="7"/>
        <v>Tuesday</v>
      </c>
      <c r="N149" t="str">
        <f t="shared" si="8"/>
        <v>Low</v>
      </c>
    </row>
    <row r="150" spans="1:14" x14ac:dyDescent="0.35">
      <c r="A150">
        <v>1474745644</v>
      </c>
      <c r="B150" s="1">
        <v>42637</v>
      </c>
      <c r="C150" t="s">
        <v>11</v>
      </c>
      <c r="D150" t="s">
        <v>87</v>
      </c>
      <c r="E150" t="s">
        <v>89</v>
      </c>
      <c r="F150" t="s">
        <v>16</v>
      </c>
      <c r="G150" t="s">
        <v>91</v>
      </c>
      <c r="H150" s="2">
        <v>10</v>
      </c>
      <c r="I150" s="2">
        <v>1</v>
      </c>
      <c r="J150" s="3">
        <v>11.97</v>
      </c>
      <c r="K150" t="s">
        <v>13</v>
      </c>
      <c r="L150" s="3">
        <f t="shared" si="6"/>
        <v>1.1970000000000001</v>
      </c>
      <c r="M150" t="str">
        <f t="shared" si="7"/>
        <v>Saturday</v>
      </c>
      <c r="N150" t="str">
        <f t="shared" si="8"/>
        <v>Low</v>
      </c>
    </row>
    <row r="151" spans="1:14" x14ac:dyDescent="0.35">
      <c r="A151">
        <v>1500143929</v>
      </c>
      <c r="B151" s="1">
        <v>42931</v>
      </c>
      <c r="C151" t="s">
        <v>11</v>
      </c>
      <c r="D151" t="s">
        <v>37</v>
      </c>
      <c r="E151" t="s">
        <v>89</v>
      </c>
      <c r="F151" t="s">
        <v>12</v>
      </c>
      <c r="G151" t="s">
        <v>91</v>
      </c>
      <c r="H151" s="2">
        <v>26</v>
      </c>
      <c r="I151" s="2">
        <v>1</v>
      </c>
      <c r="J151" s="3">
        <v>12</v>
      </c>
      <c r="K151" t="s">
        <v>13</v>
      </c>
      <c r="L151" s="3">
        <f t="shared" si="6"/>
        <v>0.46153846153846156</v>
      </c>
      <c r="M151" t="str">
        <f t="shared" si="7"/>
        <v>Saturday</v>
      </c>
      <c r="N151" t="str">
        <f t="shared" si="8"/>
        <v>Low</v>
      </c>
    </row>
    <row r="152" spans="1:14" x14ac:dyDescent="0.35">
      <c r="A152">
        <v>1500462398</v>
      </c>
      <c r="B152" s="1">
        <v>42935</v>
      </c>
      <c r="C152" t="s">
        <v>11</v>
      </c>
      <c r="D152" t="s">
        <v>87</v>
      </c>
      <c r="E152" t="s">
        <v>89</v>
      </c>
      <c r="F152" t="s">
        <v>12</v>
      </c>
      <c r="G152" t="s">
        <v>90</v>
      </c>
      <c r="H152" s="2">
        <v>13</v>
      </c>
      <c r="I152" s="2">
        <v>1</v>
      </c>
      <c r="J152" s="3">
        <v>12</v>
      </c>
      <c r="K152" t="s">
        <v>13</v>
      </c>
      <c r="L152" s="3">
        <f t="shared" si="6"/>
        <v>0.92307692307692313</v>
      </c>
      <c r="M152" t="str">
        <f t="shared" si="7"/>
        <v>Wednesday</v>
      </c>
      <c r="N152" t="str">
        <f t="shared" si="8"/>
        <v>Low</v>
      </c>
    </row>
    <row r="153" spans="1:14" x14ac:dyDescent="0.35">
      <c r="A153">
        <v>1471990833</v>
      </c>
      <c r="B153" s="1">
        <v>42605</v>
      </c>
      <c r="C153" t="s">
        <v>11</v>
      </c>
      <c r="D153" t="s">
        <v>38</v>
      </c>
      <c r="E153" t="s">
        <v>89</v>
      </c>
      <c r="F153" t="s">
        <v>16</v>
      </c>
      <c r="G153" t="s">
        <v>90</v>
      </c>
      <c r="H153" s="2">
        <v>17</v>
      </c>
      <c r="I153" s="2">
        <v>1</v>
      </c>
      <c r="J153" s="3">
        <v>12.47</v>
      </c>
      <c r="K153" t="s">
        <v>13</v>
      </c>
      <c r="L153" s="3">
        <f t="shared" si="6"/>
        <v>0.73352941176470587</v>
      </c>
      <c r="M153" t="str">
        <f t="shared" si="7"/>
        <v>Tuesday</v>
      </c>
      <c r="N153" t="str">
        <f t="shared" si="8"/>
        <v>Low</v>
      </c>
    </row>
    <row r="154" spans="1:14" x14ac:dyDescent="0.35">
      <c r="A154">
        <v>1488255501</v>
      </c>
      <c r="B154" s="1">
        <v>42793</v>
      </c>
      <c r="C154" t="s">
        <v>11</v>
      </c>
      <c r="D154" t="s">
        <v>87</v>
      </c>
      <c r="E154" t="s">
        <v>89</v>
      </c>
      <c r="F154" t="s">
        <v>12</v>
      </c>
      <c r="G154" t="s">
        <v>90</v>
      </c>
      <c r="H154" s="2">
        <v>54</v>
      </c>
      <c r="I154" s="2">
        <v>1</v>
      </c>
      <c r="J154" s="3">
        <v>12.49</v>
      </c>
      <c r="K154" t="s">
        <v>13</v>
      </c>
      <c r="L154" s="3">
        <f t="shared" si="6"/>
        <v>0.23129629629629631</v>
      </c>
      <c r="M154" t="str">
        <f t="shared" si="7"/>
        <v>Monday</v>
      </c>
      <c r="N154" t="str">
        <f t="shared" si="8"/>
        <v>Low</v>
      </c>
    </row>
    <row r="155" spans="1:14" x14ac:dyDescent="0.35">
      <c r="A155">
        <v>1492133565</v>
      </c>
      <c r="B155" s="1">
        <v>42838</v>
      </c>
      <c r="C155" t="s">
        <v>11</v>
      </c>
      <c r="D155" t="s">
        <v>14</v>
      </c>
      <c r="E155" t="s">
        <v>89</v>
      </c>
      <c r="F155" t="s">
        <v>16</v>
      </c>
      <c r="G155" t="s">
        <v>90</v>
      </c>
      <c r="H155" s="2">
        <v>27</v>
      </c>
      <c r="I155" s="2">
        <v>1</v>
      </c>
      <c r="J155" s="3">
        <v>12.57</v>
      </c>
      <c r="K155" t="s">
        <v>13</v>
      </c>
      <c r="L155" s="3">
        <f t="shared" si="6"/>
        <v>0.46555555555555556</v>
      </c>
      <c r="M155" t="str">
        <f t="shared" si="7"/>
        <v>Thursday</v>
      </c>
      <c r="N155" t="str">
        <f t="shared" si="8"/>
        <v>Low</v>
      </c>
    </row>
    <row r="156" spans="1:14" x14ac:dyDescent="0.35">
      <c r="A156">
        <v>1483412499</v>
      </c>
      <c r="B156" s="1">
        <v>42737</v>
      </c>
      <c r="C156" t="s">
        <v>11</v>
      </c>
      <c r="D156" t="s">
        <v>20</v>
      </c>
      <c r="E156" t="s">
        <v>89</v>
      </c>
      <c r="F156" t="s">
        <v>12</v>
      </c>
      <c r="G156" t="s">
        <v>91</v>
      </c>
      <c r="H156" s="2">
        <v>47</v>
      </c>
      <c r="I156" s="2">
        <v>1</v>
      </c>
      <c r="J156" s="3">
        <v>12.98</v>
      </c>
      <c r="K156" t="s">
        <v>13</v>
      </c>
      <c r="L156" s="3">
        <f t="shared" si="6"/>
        <v>0.27617021276595743</v>
      </c>
      <c r="M156" t="str">
        <f t="shared" si="7"/>
        <v>Monday</v>
      </c>
      <c r="N156" t="str">
        <f t="shared" si="8"/>
        <v>Low</v>
      </c>
    </row>
    <row r="157" spans="1:14" x14ac:dyDescent="0.35">
      <c r="A157">
        <v>1493241659</v>
      </c>
      <c r="B157" s="1">
        <v>42851</v>
      </c>
      <c r="C157" t="s">
        <v>11</v>
      </c>
      <c r="D157" t="s">
        <v>87</v>
      </c>
      <c r="E157" t="s">
        <v>89</v>
      </c>
      <c r="F157" t="s">
        <v>12</v>
      </c>
      <c r="G157" t="s">
        <v>90</v>
      </c>
      <c r="H157" s="2">
        <v>28</v>
      </c>
      <c r="I157" s="2">
        <v>1</v>
      </c>
      <c r="J157" s="3">
        <v>12.98</v>
      </c>
      <c r="K157" t="s">
        <v>13</v>
      </c>
      <c r="L157" s="3">
        <f t="shared" si="6"/>
        <v>0.46357142857142858</v>
      </c>
      <c r="M157" t="str">
        <f t="shared" si="7"/>
        <v>Wednesday</v>
      </c>
      <c r="N157" t="str">
        <f t="shared" si="8"/>
        <v>Low</v>
      </c>
    </row>
    <row r="158" spans="1:14" x14ac:dyDescent="0.35">
      <c r="A158">
        <v>1493519801</v>
      </c>
      <c r="B158" s="1">
        <v>42854</v>
      </c>
      <c r="C158" t="s">
        <v>11</v>
      </c>
      <c r="D158" t="s">
        <v>18</v>
      </c>
      <c r="E158" t="s">
        <v>89</v>
      </c>
      <c r="F158" t="s">
        <v>16</v>
      </c>
      <c r="G158" t="s">
        <v>90</v>
      </c>
      <c r="H158" s="2">
        <v>18</v>
      </c>
      <c r="I158" s="2">
        <v>1</v>
      </c>
      <c r="J158" s="3">
        <v>12.98</v>
      </c>
      <c r="K158" t="s">
        <v>13</v>
      </c>
      <c r="L158" s="3">
        <f t="shared" si="6"/>
        <v>0.72111111111111115</v>
      </c>
      <c r="M158" t="str">
        <f t="shared" si="7"/>
        <v>Saturday</v>
      </c>
      <c r="N158" t="str">
        <f t="shared" si="8"/>
        <v>Low</v>
      </c>
    </row>
    <row r="159" spans="1:14" x14ac:dyDescent="0.35">
      <c r="A159">
        <v>1497456886</v>
      </c>
      <c r="B159" s="1">
        <v>42900</v>
      </c>
      <c r="C159" t="s">
        <v>11</v>
      </c>
      <c r="D159" t="s">
        <v>87</v>
      </c>
      <c r="E159" t="s">
        <v>89</v>
      </c>
      <c r="F159" t="s">
        <v>12</v>
      </c>
      <c r="G159" t="s">
        <v>91</v>
      </c>
      <c r="H159" s="2">
        <v>19</v>
      </c>
      <c r="I159" s="2">
        <v>1</v>
      </c>
      <c r="J159" s="3">
        <v>12.98</v>
      </c>
      <c r="K159" t="s">
        <v>13</v>
      </c>
      <c r="L159" s="3">
        <f t="shared" si="6"/>
        <v>0.68315789473684208</v>
      </c>
      <c r="M159" t="str">
        <f t="shared" si="7"/>
        <v>Wednesday</v>
      </c>
      <c r="N159" t="str">
        <f t="shared" si="8"/>
        <v>Low</v>
      </c>
    </row>
    <row r="160" spans="1:14" x14ac:dyDescent="0.35">
      <c r="A160">
        <v>1493930822</v>
      </c>
      <c r="B160" s="1">
        <v>42859</v>
      </c>
      <c r="C160" t="s">
        <v>11</v>
      </c>
      <c r="D160" t="s">
        <v>87</v>
      </c>
      <c r="E160" t="s">
        <v>89</v>
      </c>
      <c r="F160" t="s">
        <v>12</v>
      </c>
      <c r="G160" t="s">
        <v>90</v>
      </c>
      <c r="H160" s="2">
        <v>12</v>
      </c>
      <c r="I160" s="2">
        <v>1</v>
      </c>
      <c r="J160" s="3">
        <v>12.98</v>
      </c>
      <c r="K160" t="s">
        <v>13</v>
      </c>
      <c r="L160" s="3">
        <f t="shared" si="6"/>
        <v>1.0816666666666668</v>
      </c>
      <c r="M160" t="str">
        <f t="shared" si="7"/>
        <v>Thursday</v>
      </c>
      <c r="N160" t="str">
        <f t="shared" si="8"/>
        <v>Low</v>
      </c>
    </row>
    <row r="161" spans="1:14" x14ac:dyDescent="0.35">
      <c r="A161">
        <v>1478710189</v>
      </c>
      <c r="B161" s="1">
        <v>42683</v>
      </c>
      <c r="C161" t="s">
        <v>11</v>
      </c>
      <c r="D161" t="s">
        <v>87</v>
      </c>
      <c r="E161" t="s">
        <v>89</v>
      </c>
      <c r="F161" t="s">
        <v>39</v>
      </c>
      <c r="G161" t="s">
        <v>91</v>
      </c>
      <c r="H161" s="2">
        <v>30</v>
      </c>
      <c r="I161" s="2">
        <v>1</v>
      </c>
      <c r="J161" s="3">
        <v>12.99</v>
      </c>
      <c r="K161" t="s">
        <v>13</v>
      </c>
      <c r="L161" s="3">
        <f t="shared" si="6"/>
        <v>0.433</v>
      </c>
      <c r="M161" t="str">
        <f t="shared" si="7"/>
        <v>Wednesday</v>
      </c>
      <c r="N161" t="str">
        <f t="shared" si="8"/>
        <v>Low</v>
      </c>
    </row>
    <row r="162" spans="1:14" x14ac:dyDescent="0.35">
      <c r="A162">
        <v>1474514449</v>
      </c>
      <c r="B162" s="1">
        <v>42634</v>
      </c>
      <c r="C162" t="s">
        <v>11</v>
      </c>
      <c r="D162" t="s">
        <v>87</v>
      </c>
      <c r="E162" t="s">
        <v>89</v>
      </c>
      <c r="F162" t="s">
        <v>12</v>
      </c>
      <c r="G162" t="s">
        <v>91</v>
      </c>
      <c r="H162" s="2">
        <v>35</v>
      </c>
      <c r="I162" s="2">
        <v>1</v>
      </c>
      <c r="J162" s="3">
        <v>12.99</v>
      </c>
      <c r="K162" t="s">
        <v>13</v>
      </c>
      <c r="L162" s="3">
        <f t="shared" si="6"/>
        <v>0.37114285714285716</v>
      </c>
      <c r="M162" t="str">
        <f t="shared" si="7"/>
        <v>Wednesday</v>
      </c>
      <c r="N162" t="str">
        <f t="shared" si="8"/>
        <v>Low</v>
      </c>
    </row>
    <row r="163" spans="1:14" x14ac:dyDescent="0.35">
      <c r="A163">
        <v>1481233298</v>
      </c>
      <c r="B163" s="1">
        <v>42712</v>
      </c>
      <c r="C163" t="s">
        <v>40</v>
      </c>
      <c r="D163" t="s">
        <v>87</v>
      </c>
      <c r="E163" t="s">
        <v>89</v>
      </c>
      <c r="F163" t="s">
        <v>16</v>
      </c>
      <c r="G163" t="s">
        <v>91</v>
      </c>
      <c r="H163" s="2">
        <v>16</v>
      </c>
      <c r="I163" s="2">
        <v>1</v>
      </c>
      <c r="J163" s="3">
        <v>12.99</v>
      </c>
      <c r="K163" t="s">
        <v>13</v>
      </c>
      <c r="L163" s="3">
        <f t="shared" si="6"/>
        <v>0.81187500000000001</v>
      </c>
      <c r="M163" t="str">
        <f t="shared" si="7"/>
        <v>Thursday</v>
      </c>
      <c r="N163" t="str">
        <f t="shared" si="8"/>
        <v>Low</v>
      </c>
    </row>
    <row r="164" spans="1:14" x14ac:dyDescent="0.35">
      <c r="A164">
        <v>1486001825</v>
      </c>
      <c r="B164" s="1">
        <v>42767</v>
      </c>
      <c r="C164" t="s">
        <v>11</v>
      </c>
      <c r="D164" t="s">
        <v>87</v>
      </c>
      <c r="E164" t="s">
        <v>89</v>
      </c>
      <c r="F164" t="s">
        <v>12</v>
      </c>
      <c r="G164" t="s">
        <v>91</v>
      </c>
      <c r="H164" s="2">
        <v>54</v>
      </c>
      <c r="I164" s="2">
        <v>2</v>
      </c>
      <c r="J164" s="3">
        <v>12.99</v>
      </c>
      <c r="K164" t="s">
        <v>13</v>
      </c>
      <c r="L164" s="3">
        <f t="shared" si="6"/>
        <v>0.24055555555555555</v>
      </c>
      <c r="M164" t="str">
        <f t="shared" si="7"/>
        <v>Wednesday</v>
      </c>
      <c r="N164" t="str">
        <f t="shared" si="8"/>
        <v>Low</v>
      </c>
    </row>
    <row r="165" spans="1:14" x14ac:dyDescent="0.35">
      <c r="A165">
        <v>1497573336</v>
      </c>
      <c r="B165" s="1">
        <v>42901</v>
      </c>
      <c r="C165" t="s">
        <v>11</v>
      </c>
      <c r="D165" t="s">
        <v>87</v>
      </c>
      <c r="E165" t="s">
        <v>89</v>
      </c>
      <c r="F165" t="s">
        <v>12</v>
      </c>
      <c r="G165" t="s">
        <v>91</v>
      </c>
      <c r="H165" s="2">
        <v>14</v>
      </c>
      <c r="I165" s="2">
        <v>1</v>
      </c>
      <c r="J165" s="3">
        <v>12.99</v>
      </c>
      <c r="K165" t="s">
        <v>13</v>
      </c>
      <c r="L165" s="3">
        <f t="shared" si="6"/>
        <v>0.92785714285714282</v>
      </c>
      <c r="M165" t="str">
        <f t="shared" si="7"/>
        <v>Thursday</v>
      </c>
      <c r="N165" t="str">
        <f t="shared" si="8"/>
        <v>Low</v>
      </c>
    </row>
    <row r="166" spans="1:14" x14ac:dyDescent="0.35">
      <c r="A166">
        <v>1487433407</v>
      </c>
      <c r="B166" s="1">
        <v>42784</v>
      </c>
      <c r="C166" t="s">
        <v>11</v>
      </c>
      <c r="D166" t="s">
        <v>87</v>
      </c>
      <c r="E166" t="s">
        <v>89</v>
      </c>
      <c r="F166" t="s">
        <v>12</v>
      </c>
      <c r="G166" t="s">
        <v>91</v>
      </c>
      <c r="H166" s="2">
        <v>8</v>
      </c>
      <c r="I166" s="2">
        <v>1</v>
      </c>
      <c r="J166" s="3">
        <v>12.99</v>
      </c>
      <c r="K166" t="s">
        <v>13</v>
      </c>
      <c r="L166" s="3">
        <f t="shared" si="6"/>
        <v>1.62375</v>
      </c>
      <c r="M166" t="str">
        <f t="shared" si="7"/>
        <v>Saturday</v>
      </c>
      <c r="N166" t="str">
        <f t="shared" si="8"/>
        <v>Low</v>
      </c>
    </row>
    <row r="167" spans="1:14" x14ac:dyDescent="0.35">
      <c r="A167">
        <v>1482865584</v>
      </c>
      <c r="B167" s="1">
        <v>42731</v>
      </c>
      <c r="C167" t="s">
        <v>11</v>
      </c>
      <c r="D167" t="s">
        <v>87</v>
      </c>
      <c r="E167" t="s">
        <v>89</v>
      </c>
      <c r="F167" t="s">
        <v>12</v>
      </c>
      <c r="G167" t="s">
        <v>91</v>
      </c>
      <c r="H167" s="2">
        <v>11</v>
      </c>
      <c r="I167" s="2">
        <v>1</v>
      </c>
      <c r="J167" s="3">
        <v>12.99</v>
      </c>
      <c r="K167" t="s">
        <v>13</v>
      </c>
      <c r="L167" s="3">
        <f t="shared" si="6"/>
        <v>1.1809090909090909</v>
      </c>
      <c r="M167" t="str">
        <f t="shared" si="7"/>
        <v>Tuesday</v>
      </c>
      <c r="N167" t="str">
        <f t="shared" si="8"/>
        <v>Low</v>
      </c>
    </row>
    <row r="168" spans="1:14" x14ac:dyDescent="0.35">
      <c r="A168">
        <v>1478105553</v>
      </c>
      <c r="B168" s="1">
        <v>42676</v>
      </c>
      <c r="C168" t="s">
        <v>11</v>
      </c>
      <c r="D168" t="s">
        <v>20</v>
      </c>
      <c r="E168" t="s">
        <v>89</v>
      </c>
      <c r="F168" t="s">
        <v>16</v>
      </c>
      <c r="G168" t="s">
        <v>91</v>
      </c>
      <c r="H168" s="2">
        <v>9</v>
      </c>
      <c r="I168" s="2">
        <v>1</v>
      </c>
      <c r="J168" s="3">
        <v>12.99</v>
      </c>
      <c r="K168" t="s">
        <v>13</v>
      </c>
      <c r="L168" s="3">
        <f t="shared" si="6"/>
        <v>1.4433333333333334</v>
      </c>
      <c r="M168" t="str">
        <f t="shared" si="7"/>
        <v>Wednesday</v>
      </c>
      <c r="N168" t="str">
        <f t="shared" si="8"/>
        <v>Low</v>
      </c>
    </row>
    <row r="169" spans="1:14" x14ac:dyDescent="0.35">
      <c r="A169">
        <v>1492709591</v>
      </c>
      <c r="B169" s="1">
        <v>42845</v>
      </c>
      <c r="C169" t="s">
        <v>11</v>
      </c>
      <c r="D169" t="s">
        <v>87</v>
      </c>
      <c r="E169" t="s">
        <v>89</v>
      </c>
      <c r="F169" t="s">
        <v>12</v>
      </c>
      <c r="G169" t="s">
        <v>90</v>
      </c>
      <c r="H169" s="2">
        <v>21</v>
      </c>
      <c r="I169" s="2">
        <v>1</v>
      </c>
      <c r="J169" s="3">
        <v>12.99</v>
      </c>
      <c r="K169" t="s">
        <v>13</v>
      </c>
      <c r="L169" s="3">
        <f t="shared" si="6"/>
        <v>0.61857142857142855</v>
      </c>
      <c r="M169" t="str">
        <f t="shared" si="7"/>
        <v>Thursday</v>
      </c>
      <c r="N169" t="str">
        <f t="shared" si="8"/>
        <v>Low</v>
      </c>
    </row>
    <row r="170" spans="1:14" x14ac:dyDescent="0.35">
      <c r="A170">
        <v>1481683233</v>
      </c>
      <c r="B170" s="1">
        <v>42717</v>
      </c>
      <c r="C170" t="s">
        <v>11</v>
      </c>
      <c r="D170" t="s">
        <v>87</v>
      </c>
      <c r="E170" t="s">
        <v>89</v>
      </c>
      <c r="F170" t="s">
        <v>12</v>
      </c>
      <c r="G170" t="s">
        <v>91</v>
      </c>
      <c r="H170" s="2">
        <v>18</v>
      </c>
      <c r="I170" s="2">
        <v>1</v>
      </c>
      <c r="J170" s="3">
        <v>12.99</v>
      </c>
      <c r="K170" t="s">
        <v>13</v>
      </c>
      <c r="L170" s="3">
        <f t="shared" si="6"/>
        <v>0.72166666666666668</v>
      </c>
      <c r="M170" t="str">
        <f t="shared" si="7"/>
        <v>Tuesday</v>
      </c>
      <c r="N170" t="str">
        <f t="shared" si="8"/>
        <v>Low</v>
      </c>
    </row>
    <row r="171" spans="1:14" x14ac:dyDescent="0.35">
      <c r="A171">
        <v>1494857623</v>
      </c>
      <c r="B171" s="1">
        <v>42870</v>
      </c>
      <c r="C171" t="s">
        <v>11</v>
      </c>
      <c r="D171" t="s">
        <v>87</v>
      </c>
      <c r="E171" t="s">
        <v>89</v>
      </c>
      <c r="F171" t="s">
        <v>12</v>
      </c>
      <c r="G171" t="s">
        <v>91</v>
      </c>
      <c r="H171" s="2">
        <v>13</v>
      </c>
      <c r="I171" s="2">
        <v>1</v>
      </c>
      <c r="J171" s="3">
        <v>12.99</v>
      </c>
      <c r="K171" t="s">
        <v>13</v>
      </c>
      <c r="L171" s="3">
        <f t="shared" si="6"/>
        <v>0.99923076923076926</v>
      </c>
      <c r="M171" t="str">
        <f t="shared" si="7"/>
        <v>Monday</v>
      </c>
      <c r="N171" t="str">
        <f t="shared" si="8"/>
        <v>Low</v>
      </c>
    </row>
    <row r="172" spans="1:14" x14ac:dyDescent="0.35">
      <c r="A172">
        <v>1481247340</v>
      </c>
      <c r="B172" s="1">
        <v>42712</v>
      </c>
      <c r="C172" t="s">
        <v>11</v>
      </c>
      <c r="D172" t="s">
        <v>87</v>
      </c>
      <c r="E172" t="s">
        <v>89</v>
      </c>
      <c r="F172" t="s">
        <v>12</v>
      </c>
      <c r="G172" t="s">
        <v>91</v>
      </c>
      <c r="H172" s="2">
        <v>18</v>
      </c>
      <c r="I172" s="2">
        <v>1</v>
      </c>
      <c r="J172" s="3">
        <v>12.99</v>
      </c>
      <c r="K172" t="s">
        <v>13</v>
      </c>
      <c r="L172" s="3">
        <f t="shared" si="6"/>
        <v>0.72166666666666668</v>
      </c>
      <c r="M172" t="str">
        <f t="shared" si="7"/>
        <v>Thursday</v>
      </c>
      <c r="N172" t="str">
        <f t="shared" si="8"/>
        <v>Low</v>
      </c>
    </row>
    <row r="173" spans="1:14" x14ac:dyDescent="0.35">
      <c r="A173">
        <v>1485318493</v>
      </c>
      <c r="B173" s="1">
        <v>42759</v>
      </c>
      <c r="C173" t="s">
        <v>11</v>
      </c>
      <c r="D173" t="s">
        <v>31</v>
      </c>
      <c r="E173" t="s">
        <v>89</v>
      </c>
      <c r="F173" t="s">
        <v>12</v>
      </c>
      <c r="G173" t="s">
        <v>91</v>
      </c>
      <c r="H173" s="2">
        <v>14</v>
      </c>
      <c r="I173" s="2">
        <v>1</v>
      </c>
      <c r="J173" s="3">
        <v>12.99</v>
      </c>
      <c r="K173" t="s">
        <v>13</v>
      </c>
      <c r="L173" s="3">
        <f t="shared" si="6"/>
        <v>0.92785714285714282</v>
      </c>
      <c r="M173" t="str">
        <f t="shared" si="7"/>
        <v>Tuesday</v>
      </c>
      <c r="N173" t="str">
        <f t="shared" si="8"/>
        <v>Low</v>
      </c>
    </row>
    <row r="174" spans="1:14" x14ac:dyDescent="0.35">
      <c r="A174">
        <v>1484613002</v>
      </c>
      <c r="B174" s="1">
        <v>42751</v>
      </c>
      <c r="C174" t="s">
        <v>11</v>
      </c>
      <c r="D174" t="s">
        <v>18</v>
      </c>
      <c r="E174" t="s">
        <v>89</v>
      </c>
      <c r="F174" t="s">
        <v>12</v>
      </c>
      <c r="G174" t="s">
        <v>91</v>
      </c>
      <c r="H174" s="2">
        <v>25</v>
      </c>
      <c r="I174" s="2">
        <v>1</v>
      </c>
      <c r="J174" s="3">
        <v>12.99</v>
      </c>
      <c r="K174" t="s">
        <v>13</v>
      </c>
      <c r="L174" s="3">
        <f t="shared" si="6"/>
        <v>0.51960000000000006</v>
      </c>
      <c r="M174" t="str">
        <f t="shared" si="7"/>
        <v>Monday</v>
      </c>
      <c r="N174" t="str">
        <f t="shared" si="8"/>
        <v>Low</v>
      </c>
    </row>
    <row r="175" spans="1:14" x14ac:dyDescent="0.35">
      <c r="A175">
        <v>1501520591</v>
      </c>
      <c r="B175" s="1">
        <v>42947</v>
      </c>
      <c r="C175" t="s">
        <v>11</v>
      </c>
      <c r="D175" t="s">
        <v>87</v>
      </c>
      <c r="E175" t="s">
        <v>89</v>
      </c>
      <c r="F175" t="s">
        <v>12</v>
      </c>
      <c r="G175" t="s">
        <v>90</v>
      </c>
      <c r="H175" s="2">
        <v>10</v>
      </c>
      <c r="I175" s="2">
        <v>1</v>
      </c>
      <c r="J175" s="3">
        <v>12.99</v>
      </c>
      <c r="K175" t="s">
        <v>13</v>
      </c>
      <c r="L175" s="3">
        <f t="shared" si="6"/>
        <v>1.2989999999999999</v>
      </c>
      <c r="M175" t="str">
        <f t="shared" si="7"/>
        <v>Monday</v>
      </c>
      <c r="N175" t="str">
        <f t="shared" si="8"/>
        <v>Low</v>
      </c>
    </row>
    <row r="176" spans="1:14" x14ac:dyDescent="0.35">
      <c r="A176">
        <v>1492015909</v>
      </c>
      <c r="B176" s="1">
        <v>42837</v>
      </c>
      <c r="C176" t="s">
        <v>11</v>
      </c>
      <c r="D176" t="s">
        <v>87</v>
      </c>
      <c r="E176" t="s">
        <v>89</v>
      </c>
      <c r="F176" t="s">
        <v>12</v>
      </c>
      <c r="G176" t="s">
        <v>90</v>
      </c>
      <c r="H176" s="2">
        <v>8</v>
      </c>
      <c r="I176" s="2">
        <v>1</v>
      </c>
      <c r="J176" s="3">
        <v>13.29</v>
      </c>
      <c r="K176" t="s">
        <v>13</v>
      </c>
      <c r="L176" s="3">
        <f t="shared" si="6"/>
        <v>1.6612499999999999</v>
      </c>
      <c r="M176" t="str">
        <f t="shared" si="7"/>
        <v>Wednesday</v>
      </c>
      <c r="N176" t="str">
        <f t="shared" si="8"/>
        <v>Low</v>
      </c>
    </row>
    <row r="177" spans="1:14" x14ac:dyDescent="0.35">
      <c r="A177">
        <v>1501641303</v>
      </c>
      <c r="B177" s="1">
        <v>42948</v>
      </c>
      <c r="C177" t="s">
        <v>11</v>
      </c>
      <c r="D177" t="s">
        <v>87</v>
      </c>
      <c r="E177" t="s">
        <v>89</v>
      </c>
      <c r="F177" t="s">
        <v>16</v>
      </c>
      <c r="G177" t="s">
        <v>91</v>
      </c>
      <c r="H177" s="2">
        <v>29</v>
      </c>
      <c r="I177" s="2">
        <v>1</v>
      </c>
      <c r="J177" s="3">
        <v>13.29</v>
      </c>
      <c r="K177" t="s">
        <v>13</v>
      </c>
      <c r="L177" s="3">
        <f t="shared" si="6"/>
        <v>0.45827586206896548</v>
      </c>
      <c r="M177" t="str">
        <f t="shared" si="7"/>
        <v>Tuesday</v>
      </c>
      <c r="N177" t="str">
        <f t="shared" si="8"/>
        <v>Low</v>
      </c>
    </row>
    <row r="178" spans="1:14" x14ac:dyDescent="0.35">
      <c r="A178">
        <v>1499928366</v>
      </c>
      <c r="B178" s="1">
        <v>42929</v>
      </c>
      <c r="C178" t="s">
        <v>11</v>
      </c>
      <c r="D178" t="s">
        <v>87</v>
      </c>
      <c r="E178" t="s">
        <v>89</v>
      </c>
      <c r="F178" t="s">
        <v>16</v>
      </c>
      <c r="G178" t="s">
        <v>91</v>
      </c>
      <c r="H178" s="2">
        <v>15</v>
      </c>
      <c r="I178" s="2">
        <v>1</v>
      </c>
      <c r="J178" s="3">
        <v>13.29</v>
      </c>
      <c r="K178" t="s">
        <v>13</v>
      </c>
      <c r="L178" s="3">
        <f t="shared" si="6"/>
        <v>0.8859999999999999</v>
      </c>
      <c r="M178" t="str">
        <f t="shared" si="7"/>
        <v>Thursday</v>
      </c>
      <c r="N178" t="str">
        <f t="shared" si="8"/>
        <v>Low</v>
      </c>
    </row>
    <row r="179" spans="1:14" x14ac:dyDescent="0.35">
      <c r="A179">
        <v>1498071708</v>
      </c>
      <c r="B179" s="1">
        <v>42907</v>
      </c>
      <c r="C179" t="s">
        <v>11</v>
      </c>
      <c r="D179" t="s">
        <v>87</v>
      </c>
      <c r="E179" t="s">
        <v>89</v>
      </c>
      <c r="F179" t="s">
        <v>16</v>
      </c>
      <c r="G179" t="s">
        <v>91</v>
      </c>
      <c r="H179" s="2">
        <v>15</v>
      </c>
      <c r="I179" s="2">
        <v>1</v>
      </c>
      <c r="J179" s="3">
        <v>13.29</v>
      </c>
      <c r="K179" t="s">
        <v>13</v>
      </c>
      <c r="L179" s="3">
        <f t="shared" si="6"/>
        <v>0.8859999999999999</v>
      </c>
      <c r="M179" t="str">
        <f t="shared" si="7"/>
        <v>Wednesday</v>
      </c>
      <c r="N179" t="str">
        <f t="shared" si="8"/>
        <v>Low</v>
      </c>
    </row>
    <row r="180" spans="1:14" x14ac:dyDescent="0.35">
      <c r="A180">
        <v>1494933655</v>
      </c>
      <c r="B180" s="1">
        <v>42871</v>
      </c>
      <c r="C180" t="s">
        <v>40</v>
      </c>
      <c r="D180" t="s">
        <v>87</v>
      </c>
      <c r="E180" t="s">
        <v>89</v>
      </c>
      <c r="F180" t="s">
        <v>12</v>
      </c>
      <c r="G180" t="s">
        <v>90</v>
      </c>
      <c r="H180" s="2">
        <v>13</v>
      </c>
      <c r="I180" s="2">
        <v>1</v>
      </c>
      <c r="J180" s="3">
        <v>13.29</v>
      </c>
      <c r="K180" t="s">
        <v>13</v>
      </c>
      <c r="L180" s="3">
        <f t="shared" si="6"/>
        <v>1.0223076923076921</v>
      </c>
      <c r="M180" t="str">
        <f t="shared" si="7"/>
        <v>Tuesday</v>
      </c>
      <c r="N180" t="str">
        <f t="shared" si="8"/>
        <v>Low</v>
      </c>
    </row>
    <row r="181" spans="1:14" x14ac:dyDescent="0.35">
      <c r="A181">
        <v>1498232978</v>
      </c>
      <c r="B181" s="1">
        <v>42909</v>
      </c>
      <c r="C181" t="s">
        <v>11</v>
      </c>
      <c r="D181" t="s">
        <v>20</v>
      </c>
      <c r="E181" t="s">
        <v>89</v>
      </c>
      <c r="F181" t="s">
        <v>16</v>
      </c>
      <c r="G181" t="s">
        <v>91</v>
      </c>
      <c r="H181" s="2">
        <v>20</v>
      </c>
      <c r="I181" s="2">
        <v>1</v>
      </c>
      <c r="J181" s="3">
        <v>13.29</v>
      </c>
      <c r="K181" t="s">
        <v>13</v>
      </c>
      <c r="L181" s="3">
        <f t="shared" si="6"/>
        <v>0.66449999999999998</v>
      </c>
      <c r="M181" t="str">
        <f t="shared" si="7"/>
        <v>Friday</v>
      </c>
      <c r="N181" t="str">
        <f t="shared" si="8"/>
        <v>Low</v>
      </c>
    </row>
    <row r="182" spans="1:14" x14ac:dyDescent="0.35">
      <c r="A182">
        <v>1498016789</v>
      </c>
      <c r="B182" s="1">
        <v>42906</v>
      </c>
      <c r="C182" t="s">
        <v>11</v>
      </c>
      <c r="D182" t="s">
        <v>41</v>
      </c>
      <c r="E182" t="s">
        <v>89</v>
      </c>
      <c r="F182" t="s">
        <v>12</v>
      </c>
      <c r="G182" t="s">
        <v>90</v>
      </c>
      <c r="H182" s="2">
        <v>30</v>
      </c>
      <c r="I182" s="2">
        <v>1</v>
      </c>
      <c r="J182" s="3">
        <v>13.29</v>
      </c>
      <c r="K182" t="s">
        <v>13</v>
      </c>
      <c r="L182" s="3">
        <f t="shared" si="6"/>
        <v>0.44299999999999995</v>
      </c>
      <c r="M182" t="str">
        <f t="shared" si="7"/>
        <v>Tuesday</v>
      </c>
      <c r="N182" t="str">
        <f t="shared" si="8"/>
        <v>Low</v>
      </c>
    </row>
    <row r="183" spans="1:14" x14ac:dyDescent="0.35">
      <c r="A183">
        <v>1492662651</v>
      </c>
      <c r="B183" s="1">
        <v>42844</v>
      </c>
      <c r="C183" t="s">
        <v>11</v>
      </c>
      <c r="D183" t="s">
        <v>14</v>
      </c>
      <c r="E183" t="s">
        <v>89</v>
      </c>
      <c r="F183" t="s">
        <v>12</v>
      </c>
      <c r="G183" t="s">
        <v>90</v>
      </c>
      <c r="H183" s="2">
        <v>13</v>
      </c>
      <c r="I183" s="2">
        <v>1</v>
      </c>
      <c r="J183" s="3">
        <v>13.29</v>
      </c>
      <c r="K183" t="s">
        <v>13</v>
      </c>
      <c r="L183" s="3">
        <f t="shared" si="6"/>
        <v>1.0223076923076921</v>
      </c>
      <c r="M183" t="str">
        <f t="shared" si="7"/>
        <v>Wednesday</v>
      </c>
      <c r="N183" t="str">
        <f t="shared" si="8"/>
        <v>Low</v>
      </c>
    </row>
    <row r="184" spans="1:14" x14ac:dyDescent="0.35">
      <c r="A184">
        <v>1470446353</v>
      </c>
      <c r="B184" s="1">
        <v>42587</v>
      </c>
      <c r="C184" t="s">
        <v>11</v>
      </c>
      <c r="D184" t="s">
        <v>87</v>
      </c>
      <c r="E184" t="s">
        <v>89</v>
      </c>
      <c r="F184" t="s">
        <v>12</v>
      </c>
      <c r="G184" t="s">
        <v>91</v>
      </c>
      <c r="H184" s="2">
        <v>29</v>
      </c>
      <c r="I184" s="2">
        <v>1</v>
      </c>
      <c r="J184" s="3">
        <v>13.52</v>
      </c>
      <c r="K184" t="s">
        <v>13</v>
      </c>
      <c r="L184" s="3">
        <f t="shared" si="6"/>
        <v>0.46620689655172415</v>
      </c>
      <c r="M184" t="str">
        <f t="shared" si="7"/>
        <v>Friday</v>
      </c>
      <c r="N184" t="str">
        <f t="shared" si="8"/>
        <v>Low</v>
      </c>
    </row>
    <row r="185" spans="1:14" x14ac:dyDescent="0.35">
      <c r="A185">
        <v>1481861233</v>
      </c>
      <c r="B185" s="1">
        <v>42719</v>
      </c>
      <c r="C185" t="s">
        <v>11</v>
      </c>
      <c r="D185" t="s">
        <v>28</v>
      </c>
      <c r="E185" t="s">
        <v>89</v>
      </c>
      <c r="F185" t="s">
        <v>30</v>
      </c>
      <c r="G185" t="s">
        <v>91</v>
      </c>
      <c r="H185" s="2">
        <v>11</v>
      </c>
      <c r="I185" s="2">
        <v>1</v>
      </c>
      <c r="J185" s="3">
        <v>13.98</v>
      </c>
      <c r="K185" t="s">
        <v>13</v>
      </c>
      <c r="L185" s="3">
        <f t="shared" si="6"/>
        <v>1.270909090909091</v>
      </c>
      <c r="M185" t="str">
        <f t="shared" si="7"/>
        <v>Thursday</v>
      </c>
      <c r="N185" t="str">
        <f t="shared" si="8"/>
        <v>Low</v>
      </c>
    </row>
    <row r="186" spans="1:14" x14ac:dyDescent="0.35">
      <c r="A186">
        <v>1491277678</v>
      </c>
      <c r="B186" s="1">
        <v>42828</v>
      </c>
      <c r="C186" t="s">
        <v>11</v>
      </c>
      <c r="D186" t="s">
        <v>87</v>
      </c>
      <c r="E186" t="s">
        <v>89</v>
      </c>
      <c r="F186" t="s">
        <v>12</v>
      </c>
      <c r="G186" t="s">
        <v>90</v>
      </c>
      <c r="H186" s="2">
        <v>16</v>
      </c>
      <c r="I186" s="2">
        <v>1</v>
      </c>
      <c r="J186" s="3">
        <v>13.98</v>
      </c>
      <c r="K186" t="s">
        <v>13</v>
      </c>
      <c r="L186" s="3">
        <f t="shared" si="6"/>
        <v>0.87375000000000003</v>
      </c>
      <c r="M186" t="str">
        <f t="shared" si="7"/>
        <v>Monday</v>
      </c>
      <c r="N186" t="str">
        <f t="shared" si="8"/>
        <v>Low</v>
      </c>
    </row>
    <row r="187" spans="1:14" x14ac:dyDescent="0.35">
      <c r="A187">
        <v>1495298424</v>
      </c>
      <c r="B187" s="1">
        <v>42875</v>
      </c>
      <c r="C187" t="s">
        <v>11</v>
      </c>
      <c r="D187" t="s">
        <v>87</v>
      </c>
      <c r="E187" t="s">
        <v>89</v>
      </c>
      <c r="F187" t="s">
        <v>16</v>
      </c>
      <c r="G187" t="s">
        <v>91</v>
      </c>
      <c r="H187" s="2">
        <v>12</v>
      </c>
      <c r="I187" s="2">
        <v>1</v>
      </c>
      <c r="J187" s="3">
        <v>13.98</v>
      </c>
      <c r="K187" t="s">
        <v>13</v>
      </c>
      <c r="L187" s="3">
        <f t="shared" si="6"/>
        <v>1.165</v>
      </c>
      <c r="M187" t="str">
        <f t="shared" si="7"/>
        <v>Saturday</v>
      </c>
      <c r="N187" t="str">
        <f t="shared" si="8"/>
        <v>Low</v>
      </c>
    </row>
    <row r="188" spans="1:14" x14ac:dyDescent="0.35">
      <c r="A188">
        <v>1495383586</v>
      </c>
      <c r="B188" s="1">
        <v>42876</v>
      </c>
      <c r="C188" t="s">
        <v>11</v>
      </c>
      <c r="D188" t="s">
        <v>25</v>
      </c>
      <c r="E188" t="s">
        <v>89</v>
      </c>
      <c r="F188" t="s">
        <v>26</v>
      </c>
      <c r="G188" t="s">
        <v>91</v>
      </c>
      <c r="H188" s="2">
        <v>11</v>
      </c>
      <c r="I188" s="2">
        <v>1</v>
      </c>
      <c r="J188" s="3">
        <v>13.98</v>
      </c>
      <c r="K188" t="s">
        <v>13</v>
      </c>
      <c r="L188" s="3">
        <f t="shared" si="6"/>
        <v>1.270909090909091</v>
      </c>
      <c r="M188" t="str">
        <f t="shared" si="7"/>
        <v>Sunday</v>
      </c>
      <c r="N188" t="str">
        <f t="shared" si="8"/>
        <v>Low</v>
      </c>
    </row>
    <row r="189" spans="1:14" x14ac:dyDescent="0.35">
      <c r="A189">
        <v>1485338720</v>
      </c>
      <c r="B189" s="1">
        <v>42760</v>
      </c>
      <c r="C189" t="s">
        <v>11</v>
      </c>
      <c r="D189" t="s">
        <v>87</v>
      </c>
      <c r="E189" t="s">
        <v>89</v>
      </c>
      <c r="F189" t="s">
        <v>30</v>
      </c>
      <c r="G189" t="s">
        <v>91</v>
      </c>
      <c r="H189" s="2">
        <v>11</v>
      </c>
      <c r="I189" s="2">
        <v>1</v>
      </c>
      <c r="J189" s="3">
        <v>13.98</v>
      </c>
      <c r="K189" t="s">
        <v>13</v>
      </c>
      <c r="L189" s="3">
        <f t="shared" si="6"/>
        <v>1.270909090909091</v>
      </c>
      <c r="M189" t="str">
        <f t="shared" si="7"/>
        <v>Wednesday</v>
      </c>
      <c r="N189" t="str">
        <f t="shared" si="8"/>
        <v>Low</v>
      </c>
    </row>
    <row r="190" spans="1:14" x14ac:dyDescent="0.35">
      <c r="A190">
        <v>1474434593</v>
      </c>
      <c r="B190" s="1">
        <v>42633</v>
      </c>
      <c r="C190" t="s">
        <v>11</v>
      </c>
      <c r="D190" t="s">
        <v>15</v>
      </c>
      <c r="E190" t="s">
        <v>89</v>
      </c>
      <c r="F190" t="s">
        <v>12</v>
      </c>
      <c r="G190" t="s">
        <v>90</v>
      </c>
      <c r="H190" s="2">
        <v>20</v>
      </c>
      <c r="I190" s="2">
        <v>1</v>
      </c>
      <c r="J190" s="3">
        <v>13.99</v>
      </c>
      <c r="K190" t="s">
        <v>13</v>
      </c>
      <c r="L190" s="3">
        <f t="shared" si="6"/>
        <v>0.69950000000000001</v>
      </c>
      <c r="M190" t="str">
        <f t="shared" si="7"/>
        <v>Tuesday</v>
      </c>
      <c r="N190" t="str">
        <f t="shared" si="8"/>
        <v>Low</v>
      </c>
    </row>
    <row r="191" spans="1:14" x14ac:dyDescent="0.35">
      <c r="A191">
        <v>1477802758</v>
      </c>
      <c r="B191" s="1">
        <v>42672</v>
      </c>
      <c r="C191" t="s">
        <v>11</v>
      </c>
      <c r="D191" t="s">
        <v>87</v>
      </c>
      <c r="E191" t="s">
        <v>89</v>
      </c>
      <c r="F191" t="s">
        <v>12</v>
      </c>
      <c r="G191" t="s">
        <v>91</v>
      </c>
      <c r="H191" s="2">
        <v>22</v>
      </c>
      <c r="I191" s="2">
        <v>1</v>
      </c>
      <c r="J191" s="3">
        <v>14</v>
      </c>
      <c r="K191" t="s">
        <v>13</v>
      </c>
      <c r="L191" s="3">
        <f t="shared" si="6"/>
        <v>0.63636363636363635</v>
      </c>
      <c r="M191" t="str">
        <f t="shared" si="7"/>
        <v>Saturday</v>
      </c>
      <c r="N191" t="str">
        <f t="shared" si="8"/>
        <v>Low</v>
      </c>
    </row>
    <row r="192" spans="1:14" x14ac:dyDescent="0.35">
      <c r="A192">
        <v>1501440171</v>
      </c>
      <c r="B192" s="1">
        <v>42946</v>
      </c>
      <c r="C192" t="s">
        <v>11</v>
      </c>
      <c r="D192" t="s">
        <v>87</v>
      </c>
      <c r="E192" t="s">
        <v>89</v>
      </c>
      <c r="F192" t="s">
        <v>16</v>
      </c>
      <c r="G192" t="s">
        <v>90</v>
      </c>
      <c r="H192" s="2">
        <v>27</v>
      </c>
      <c r="I192" s="2">
        <v>1</v>
      </c>
      <c r="J192" s="3">
        <v>14</v>
      </c>
      <c r="K192" t="s">
        <v>13</v>
      </c>
      <c r="L192" s="3">
        <f t="shared" si="6"/>
        <v>0.51851851851851849</v>
      </c>
      <c r="M192" t="str">
        <f t="shared" si="7"/>
        <v>Sunday</v>
      </c>
      <c r="N192" t="str">
        <f t="shared" si="8"/>
        <v>Low</v>
      </c>
    </row>
    <row r="193" spans="1:14" x14ac:dyDescent="0.35">
      <c r="A193">
        <v>1501510210</v>
      </c>
      <c r="B193" s="1">
        <v>42947</v>
      </c>
      <c r="C193" t="s">
        <v>11</v>
      </c>
      <c r="D193" t="s">
        <v>87</v>
      </c>
      <c r="E193" t="s">
        <v>89</v>
      </c>
      <c r="F193" t="s">
        <v>12</v>
      </c>
      <c r="G193" t="s">
        <v>90</v>
      </c>
      <c r="H193" s="2">
        <v>18</v>
      </c>
      <c r="I193" s="2">
        <v>1</v>
      </c>
      <c r="J193" s="3">
        <v>14</v>
      </c>
      <c r="K193" t="s">
        <v>13</v>
      </c>
      <c r="L193" s="3">
        <f t="shared" si="6"/>
        <v>0.77777777777777779</v>
      </c>
      <c r="M193" t="str">
        <f t="shared" si="7"/>
        <v>Monday</v>
      </c>
      <c r="N193" t="str">
        <f t="shared" si="8"/>
        <v>Low</v>
      </c>
    </row>
    <row r="194" spans="1:14" x14ac:dyDescent="0.35">
      <c r="A194">
        <v>1473351948</v>
      </c>
      <c r="B194" s="1">
        <v>42621</v>
      </c>
      <c r="C194" t="s">
        <v>11</v>
      </c>
      <c r="D194" t="s">
        <v>87</v>
      </c>
      <c r="E194" t="s">
        <v>89</v>
      </c>
      <c r="F194" t="s">
        <v>16</v>
      </c>
      <c r="G194" t="s">
        <v>90</v>
      </c>
      <c r="H194" s="2">
        <v>10</v>
      </c>
      <c r="I194" s="2">
        <v>1</v>
      </c>
      <c r="J194" s="3">
        <v>14.49</v>
      </c>
      <c r="K194" t="s">
        <v>13</v>
      </c>
      <c r="L194" s="3">
        <f t="shared" si="6"/>
        <v>1.4490000000000001</v>
      </c>
      <c r="M194" t="str">
        <f t="shared" si="7"/>
        <v>Thursday</v>
      </c>
      <c r="N194" t="str">
        <f t="shared" si="8"/>
        <v>Low</v>
      </c>
    </row>
    <row r="195" spans="1:14" x14ac:dyDescent="0.35">
      <c r="A195">
        <v>1471984022</v>
      </c>
      <c r="B195" s="1">
        <v>42605</v>
      </c>
      <c r="C195" t="s">
        <v>11</v>
      </c>
      <c r="D195" t="s">
        <v>87</v>
      </c>
      <c r="E195" t="s">
        <v>89</v>
      </c>
      <c r="F195" t="s">
        <v>12</v>
      </c>
      <c r="G195" t="s">
        <v>90</v>
      </c>
      <c r="H195" s="2">
        <v>13</v>
      </c>
      <c r="I195" s="2">
        <v>1</v>
      </c>
      <c r="J195" s="3">
        <v>14.68</v>
      </c>
      <c r="K195" t="s">
        <v>13</v>
      </c>
      <c r="L195" s="3">
        <f t="shared" ref="L195:L258" si="9">J195/H195</f>
        <v>1.1292307692307693</v>
      </c>
      <c r="M195" t="str">
        <f t="shared" ref="M195:M258" si="10">TEXT(B195, "dddd")</f>
        <v>Tuesday</v>
      </c>
      <c r="N195" t="str">
        <f t="shared" ref="N195:N258" si="11">IF(J195&gt;200,"High",IF(J195&gt;=20,"Medium","Low"))</f>
        <v>Low</v>
      </c>
    </row>
    <row r="196" spans="1:14" x14ac:dyDescent="0.35">
      <c r="A196">
        <v>1493867466</v>
      </c>
      <c r="B196" s="1">
        <v>42858</v>
      </c>
      <c r="C196" t="s">
        <v>11</v>
      </c>
      <c r="D196" t="s">
        <v>87</v>
      </c>
      <c r="E196" t="s">
        <v>89</v>
      </c>
      <c r="F196" t="s">
        <v>16</v>
      </c>
      <c r="G196" t="s">
        <v>90</v>
      </c>
      <c r="H196" s="2">
        <v>8</v>
      </c>
      <c r="I196" s="2">
        <v>1</v>
      </c>
      <c r="J196" s="3">
        <v>14.69</v>
      </c>
      <c r="K196" t="s">
        <v>13</v>
      </c>
      <c r="L196" s="3">
        <f t="shared" si="9"/>
        <v>1.8362499999999999</v>
      </c>
      <c r="M196" t="str">
        <f t="shared" si="10"/>
        <v>Wednesday</v>
      </c>
      <c r="N196" t="str">
        <f t="shared" si="11"/>
        <v>Low</v>
      </c>
    </row>
    <row r="197" spans="1:14" x14ac:dyDescent="0.35">
      <c r="A197">
        <v>1493478172</v>
      </c>
      <c r="B197" s="1">
        <v>42854</v>
      </c>
      <c r="C197" t="s">
        <v>11</v>
      </c>
      <c r="D197" t="s">
        <v>87</v>
      </c>
      <c r="E197" t="s">
        <v>89</v>
      </c>
      <c r="F197" t="s">
        <v>16</v>
      </c>
      <c r="G197" t="s">
        <v>90</v>
      </c>
      <c r="H197" s="2">
        <v>19</v>
      </c>
      <c r="I197" s="2">
        <v>1</v>
      </c>
      <c r="J197" s="3">
        <v>14.69</v>
      </c>
      <c r="K197" t="s">
        <v>13</v>
      </c>
      <c r="L197" s="3">
        <f t="shared" si="9"/>
        <v>0.77315789473684204</v>
      </c>
      <c r="M197" t="str">
        <f t="shared" si="10"/>
        <v>Saturday</v>
      </c>
      <c r="N197" t="str">
        <f t="shared" si="11"/>
        <v>Low</v>
      </c>
    </row>
    <row r="198" spans="1:14" x14ac:dyDescent="0.35">
      <c r="A198">
        <v>1491243259</v>
      </c>
      <c r="B198" s="1">
        <v>42828</v>
      </c>
      <c r="C198" t="s">
        <v>11</v>
      </c>
      <c r="D198" t="s">
        <v>87</v>
      </c>
      <c r="E198" t="s">
        <v>89</v>
      </c>
      <c r="F198" t="s">
        <v>16</v>
      </c>
      <c r="G198" t="s">
        <v>90</v>
      </c>
      <c r="H198" s="2">
        <v>21</v>
      </c>
      <c r="I198" s="2">
        <v>1</v>
      </c>
      <c r="J198" s="3">
        <v>14.95</v>
      </c>
      <c r="K198" t="s">
        <v>13</v>
      </c>
      <c r="L198" s="3">
        <f t="shared" si="9"/>
        <v>0.71190476190476182</v>
      </c>
      <c r="M198" t="str">
        <f t="shared" si="10"/>
        <v>Monday</v>
      </c>
      <c r="N198" t="str">
        <f t="shared" si="11"/>
        <v>Low</v>
      </c>
    </row>
    <row r="199" spans="1:14" x14ac:dyDescent="0.35">
      <c r="A199">
        <v>1484670113</v>
      </c>
      <c r="B199" s="1">
        <v>42752</v>
      </c>
      <c r="C199" t="s">
        <v>42</v>
      </c>
      <c r="D199" t="s">
        <v>43</v>
      </c>
      <c r="E199" t="s">
        <v>89</v>
      </c>
      <c r="F199" t="s">
        <v>16</v>
      </c>
      <c r="G199" t="s">
        <v>91</v>
      </c>
      <c r="H199" s="2">
        <v>15</v>
      </c>
      <c r="I199" s="2">
        <v>1</v>
      </c>
      <c r="J199" s="3">
        <v>14.98</v>
      </c>
      <c r="K199" t="s">
        <v>13</v>
      </c>
      <c r="L199" s="3">
        <f t="shared" si="9"/>
        <v>0.9986666666666667</v>
      </c>
      <c r="M199" t="str">
        <f t="shared" si="10"/>
        <v>Tuesday</v>
      </c>
      <c r="N199" t="str">
        <f t="shared" si="11"/>
        <v>Low</v>
      </c>
    </row>
    <row r="200" spans="1:14" x14ac:dyDescent="0.35">
      <c r="A200">
        <v>1474929658</v>
      </c>
      <c r="B200" s="1">
        <v>42639</v>
      </c>
      <c r="C200" t="s">
        <v>11</v>
      </c>
      <c r="D200" t="s">
        <v>87</v>
      </c>
      <c r="E200" t="s">
        <v>89</v>
      </c>
      <c r="F200" t="s">
        <v>16</v>
      </c>
      <c r="G200" t="s">
        <v>90</v>
      </c>
      <c r="H200" s="2">
        <v>19</v>
      </c>
      <c r="I200" s="2">
        <v>1</v>
      </c>
      <c r="J200" s="3">
        <v>14.98</v>
      </c>
      <c r="K200" t="s">
        <v>13</v>
      </c>
      <c r="L200" s="3">
        <f t="shared" si="9"/>
        <v>0.78842105263157902</v>
      </c>
      <c r="M200" t="str">
        <f t="shared" si="10"/>
        <v>Monday</v>
      </c>
      <c r="N200" t="str">
        <f t="shared" si="11"/>
        <v>Low</v>
      </c>
    </row>
    <row r="201" spans="1:14" x14ac:dyDescent="0.35">
      <c r="A201">
        <v>1478446373</v>
      </c>
      <c r="B201" s="1">
        <v>42680</v>
      </c>
      <c r="C201" t="s">
        <v>11</v>
      </c>
      <c r="D201" t="s">
        <v>87</v>
      </c>
      <c r="E201" t="s">
        <v>89</v>
      </c>
      <c r="F201" t="s">
        <v>12</v>
      </c>
      <c r="G201" t="s">
        <v>91</v>
      </c>
      <c r="H201" s="2">
        <v>14</v>
      </c>
      <c r="I201" s="2">
        <v>1</v>
      </c>
      <c r="J201" s="3">
        <v>15</v>
      </c>
      <c r="K201" t="s">
        <v>13</v>
      </c>
      <c r="L201" s="3">
        <f t="shared" si="9"/>
        <v>1.0714285714285714</v>
      </c>
      <c r="M201" t="str">
        <f t="shared" si="10"/>
        <v>Sunday</v>
      </c>
      <c r="N201" t="str">
        <f t="shared" si="11"/>
        <v>Low</v>
      </c>
    </row>
    <row r="202" spans="1:14" x14ac:dyDescent="0.35">
      <c r="A202">
        <v>1476572472</v>
      </c>
      <c r="B202" s="1">
        <v>42658</v>
      </c>
      <c r="C202" t="s">
        <v>11</v>
      </c>
      <c r="D202" t="s">
        <v>87</v>
      </c>
      <c r="E202" t="s">
        <v>89</v>
      </c>
      <c r="F202" t="s">
        <v>16</v>
      </c>
      <c r="G202" t="s">
        <v>91</v>
      </c>
      <c r="H202" s="2">
        <v>16</v>
      </c>
      <c r="I202" s="2">
        <v>1</v>
      </c>
      <c r="J202" s="3">
        <v>15</v>
      </c>
      <c r="K202" t="s">
        <v>13</v>
      </c>
      <c r="L202" s="3">
        <f t="shared" si="9"/>
        <v>0.9375</v>
      </c>
      <c r="M202" t="str">
        <f t="shared" si="10"/>
        <v>Saturday</v>
      </c>
      <c r="N202" t="str">
        <f t="shared" si="11"/>
        <v>Low</v>
      </c>
    </row>
    <row r="203" spans="1:14" x14ac:dyDescent="0.35">
      <c r="A203">
        <v>1500420814</v>
      </c>
      <c r="B203" s="1">
        <v>42934</v>
      </c>
      <c r="C203" t="s">
        <v>11</v>
      </c>
      <c r="D203" t="s">
        <v>87</v>
      </c>
      <c r="E203" t="s">
        <v>89</v>
      </c>
      <c r="F203" t="s">
        <v>12</v>
      </c>
      <c r="G203" t="s">
        <v>90</v>
      </c>
      <c r="H203" s="2">
        <v>52</v>
      </c>
      <c r="I203" s="2">
        <v>1</v>
      </c>
      <c r="J203" s="3">
        <v>15.39</v>
      </c>
      <c r="K203" t="s">
        <v>13</v>
      </c>
      <c r="L203" s="3">
        <f t="shared" si="9"/>
        <v>0.2959615384615385</v>
      </c>
      <c r="M203" t="str">
        <f t="shared" si="10"/>
        <v>Tuesday</v>
      </c>
      <c r="N203" t="str">
        <f t="shared" si="11"/>
        <v>Low</v>
      </c>
    </row>
    <row r="204" spans="1:14" x14ac:dyDescent="0.35">
      <c r="A204">
        <v>1475898709</v>
      </c>
      <c r="B204" s="1">
        <v>42650</v>
      </c>
      <c r="C204" t="s">
        <v>11</v>
      </c>
      <c r="D204" t="s">
        <v>87</v>
      </c>
      <c r="E204" t="s">
        <v>89</v>
      </c>
      <c r="F204" t="s">
        <v>16</v>
      </c>
      <c r="G204" t="s">
        <v>90</v>
      </c>
      <c r="H204" s="2">
        <v>34</v>
      </c>
      <c r="I204" s="2">
        <v>1</v>
      </c>
      <c r="J204" s="3">
        <v>15.95</v>
      </c>
      <c r="K204" t="s">
        <v>13</v>
      </c>
      <c r="L204" s="3">
        <f t="shared" si="9"/>
        <v>0.46911764705882353</v>
      </c>
      <c r="M204" t="str">
        <f t="shared" si="10"/>
        <v>Friday</v>
      </c>
      <c r="N204" t="str">
        <f t="shared" si="11"/>
        <v>Low</v>
      </c>
    </row>
    <row r="205" spans="1:14" x14ac:dyDescent="0.35">
      <c r="A205">
        <v>1497331872</v>
      </c>
      <c r="B205" s="1">
        <v>42898</v>
      </c>
      <c r="C205" t="s">
        <v>11</v>
      </c>
      <c r="D205" t="s">
        <v>28</v>
      </c>
      <c r="E205" t="s">
        <v>89</v>
      </c>
      <c r="F205" t="s">
        <v>16</v>
      </c>
      <c r="G205" t="s">
        <v>91</v>
      </c>
      <c r="H205" s="2">
        <v>33</v>
      </c>
      <c r="I205" s="2">
        <v>1</v>
      </c>
      <c r="J205" s="3">
        <v>15.96</v>
      </c>
      <c r="K205" t="s">
        <v>13</v>
      </c>
      <c r="L205" s="3">
        <f t="shared" si="9"/>
        <v>0.48363636363636364</v>
      </c>
      <c r="M205" t="str">
        <f t="shared" si="10"/>
        <v>Monday</v>
      </c>
      <c r="N205" t="str">
        <f t="shared" si="11"/>
        <v>Low</v>
      </c>
    </row>
    <row r="206" spans="1:14" x14ac:dyDescent="0.35">
      <c r="A206">
        <v>1473188394</v>
      </c>
      <c r="B206" s="1">
        <v>42619</v>
      </c>
      <c r="C206" t="s">
        <v>11</v>
      </c>
      <c r="D206" t="s">
        <v>87</v>
      </c>
      <c r="E206" t="s">
        <v>89</v>
      </c>
      <c r="F206" t="s">
        <v>16</v>
      </c>
      <c r="G206" t="s">
        <v>90</v>
      </c>
      <c r="H206" s="2">
        <v>26</v>
      </c>
      <c r="I206" s="2">
        <v>1</v>
      </c>
      <c r="J206" s="3">
        <v>15.96</v>
      </c>
      <c r="K206" t="s">
        <v>13</v>
      </c>
      <c r="L206" s="3">
        <f t="shared" si="9"/>
        <v>0.61384615384615393</v>
      </c>
      <c r="M206" t="str">
        <f t="shared" si="10"/>
        <v>Tuesday</v>
      </c>
      <c r="N206" t="str">
        <f t="shared" si="11"/>
        <v>Low</v>
      </c>
    </row>
    <row r="207" spans="1:14" x14ac:dyDescent="0.35">
      <c r="A207">
        <v>1492088880</v>
      </c>
      <c r="B207" s="1">
        <v>42838</v>
      </c>
      <c r="C207" t="s">
        <v>11</v>
      </c>
      <c r="D207" t="s">
        <v>87</v>
      </c>
      <c r="E207" t="s">
        <v>89</v>
      </c>
      <c r="F207" t="s">
        <v>12</v>
      </c>
      <c r="G207" t="s">
        <v>90</v>
      </c>
      <c r="H207" s="2">
        <v>14</v>
      </c>
      <c r="I207" s="2">
        <v>1</v>
      </c>
      <c r="J207" s="3">
        <v>15.96</v>
      </c>
      <c r="K207" t="s">
        <v>13</v>
      </c>
      <c r="L207" s="3">
        <f t="shared" si="9"/>
        <v>1.1400000000000001</v>
      </c>
      <c r="M207" t="str">
        <f t="shared" si="10"/>
        <v>Thursday</v>
      </c>
      <c r="N207" t="str">
        <f t="shared" si="11"/>
        <v>Low</v>
      </c>
    </row>
    <row r="208" spans="1:14" x14ac:dyDescent="0.35">
      <c r="A208">
        <v>1490732099</v>
      </c>
      <c r="B208" s="1">
        <v>42822</v>
      </c>
      <c r="C208" t="s">
        <v>11</v>
      </c>
      <c r="D208" t="s">
        <v>28</v>
      </c>
      <c r="E208" t="s">
        <v>89</v>
      </c>
      <c r="F208" t="s">
        <v>12</v>
      </c>
      <c r="G208" t="s">
        <v>90</v>
      </c>
      <c r="H208" s="2">
        <v>11</v>
      </c>
      <c r="I208" s="2">
        <v>1</v>
      </c>
      <c r="J208" s="3">
        <v>15.99</v>
      </c>
      <c r="K208" t="s">
        <v>13</v>
      </c>
      <c r="L208" s="3">
        <f t="shared" si="9"/>
        <v>1.4536363636363636</v>
      </c>
      <c r="M208" t="str">
        <f t="shared" si="10"/>
        <v>Tuesday</v>
      </c>
      <c r="N208" t="str">
        <f t="shared" si="11"/>
        <v>Low</v>
      </c>
    </row>
    <row r="209" spans="1:14" x14ac:dyDescent="0.35">
      <c r="A209">
        <v>1495117087</v>
      </c>
      <c r="B209" s="1">
        <v>42873</v>
      </c>
      <c r="C209" t="s">
        <v>11</v>
      </c>
      <c r="D209" t="s">
        <v>87</v>
      </c>
      <c r="E209" t="s">
        <v>89</v>
      </c>
      <c r="F209" t="s">
        <v>12</v>
      </c>
      <c r="G209" t="s">
        <v>90</v>
      </c>
      <c r="H209" s="2">
        <v>15</v>
      </c>
      <c r="I209" s="2">
        <v>1</v>
      </c>
      <c r="J209" s="3">
        <v>16.28</v>
      </c>
      <c r="K209" t="s">
        <v>13</v>
      </c>
      <c r="L209" s="3">
        <f t="shared" si="9"/>
        <v>1.0853333333333335</v>
      </c>
      <c r="M209" t="str">
        <f t="shared" si="10"/>
        <v>Thursday</v>
      </c>
      <c r="N209" t="str">
        <f t="shared" si="11"/>
        <v>Low</v>
      </c>
    </row>
    <row r="210" spans="1:14" x14ac:dyDescent="0.35">
      <c r="A210">
        <v>1484707394</v>
      </c>
      <c r="B210" s="1">
        <v>42752</v>
      </c>
      <c r="C210" t="s">
        <v>11</v>
      </c>
      <c r="D210" t="s">
        <v>14</v>
      </c>
      <c r="E210" t="s">
        <v>89</v>
      </c>
      <c r="F210" t="s">
        <v>16</v>
      </c>
      <c r="G210" t="s">
        <v>91</v>
      </c>
      <c r="H210" s="2">
        <v>33</v>
      </c>
      <c r="I210" s="2">
        <v>1</v>
      </c>
      <c r="J210" s="3">
        <v>16.48</v>
      </c>
      <c r="K210" t="s">
        <v>13</v>
      </c>
      <c r="L210" s="3">
        <f t="shared" si="9"/>
        <v>0.49939393939393939</v>
      </c>
      <c r="M210" t="str">
        <f t="shared" si="10"/>
        <v>Tuesday</v>
      </c>
      <c r="N210" t="str">
        <f t="shared" si="11"/>
        <v>Low</v>
      </c>
    </row>
    <row r="211" spans="1:14" x14ac:dyDescent="0.35">
      <c r="A211">
        <v>1472743628</v>
      </c>
      <c r="B211" s="1">
        <v>42614</v>
      </c>
      <c r="C211" t="s">
        <v>11</v>
      </c>
      <c r="D211" t="s">
        <v>27</v>
      </c>
      <c r="E211" t="s">
        <v>89</v>
      </c>
      <c r="F211" t="s">
        <v>12</v>
      </c>
      <c r="G211" t="s">
        <v>90</v>
      </c>
      <c r="H211" s="2">
        <v>10</v>
      </c>
      <c r="I211" s="2">
        <v>1</v>
      </c>
      <c r="J211" s="3">
        <v>16.489999999999998</v>
      </c>
      <c r="K211" t="s">
        <v>13</v>
      </c>
      <c r="L211" s="3">
        <f t="shared" si="9"/>
        <v>1.6489999999999998</v>
      </c>
      <c r="M211" t="str">
        <f t="shared" si="10"/>
        <v>Thursday</v>
      </c>
      <c r="N211" t="str">
        <f t="shared" si="11"/>
        <v>Low</v>
      </c>
    </row>
    <row r="212" spans="1:14" x14ac:dyDescent="0.35">
      <c r="A212">
        <v>1480491475</v>
      </c>
      <c r="B212" s="1">
        <v>42703</v>
      </c>
      <c r="C212" t="s">
        <v>11</v>
      </c>
      <c r="D212" t="s">
        <v>44</v>
      </c>
      <c r="E212" t="s">
        <v>89</v>
      </c>
      <c r="F212" t="s">
        <v>12</v>
      </c>
      <c r="G212" t="s">
        <v>91</v>
      </c>
      <c r="H212" s="2">
        <v>43</v>
      </c>
      <c r="I212" s="2">
        <v>1</v>
      </c>
      <c r="J212" s="3">
        <v>16.96</v>
      </c>
      <c r="K212" t="s">
        <v>13</v>
      </c>
      <c r="L212" s="3">
        <f t="shared" si="9"/>
        <v>0.3944186046511628</v>
      </c>
      <c r="M212" t="str">
        <f t="shared" si="10"/>
        <v>Tuesday</v>
      </c>
      <c r="N212" t="str">
        <f t="shared" si="11"/>
        <v>Low</v>
      </c>
    </row>
    <row r="213" spans="1:14" x14ac:dyDescent="0.35">
      <c r="A213">
        <v>1485477841</v>
      </c>
      <c r="B213" s="1">
        <v>42761</v>
      </c>
      <c r="C213" t="s">
        <v>11</v>
      </c>
      <c r="D213" t="s">
        <v>87</v>
      </c>
      <c r="E213" t="s">
        <v>89</v>
      </c>
      <c r="F213" t="s">
        <v>26</v>
      </c>
      <c r="G213" t="s">
        <v>91</v>
      </c>
      <c r="H213" s="2">
        <v>14</v>
      </c>
      <c r="I213" s="2">
        <v>1</v>
      </c>
      <c r="J213" s="3">
        <v>16.97</v>
      </c>
      <c r="K213" t="s">
        <v>13</v>
      </c>
      <c r="L213" s="3">
        <f t="shared" si="9"/>
        <v>1.212142857142857</v>
      </c>
      <c r="M213" t="str">
        <f t="shared" si="10"/>
        <v>Thursday</v>
      </c>
      <c r="N213" t="str">
        <f t="shared" si="11"/>
        <v>Low</v>
      </c>
    </row>
    <row r="214" spans="1:14" x14ac:dyDescent="0.35">
      <c r="A214">
        <v>1477255583</v>
      </c>
      <c r="B214" s="1">
        <v>42666</v>
      </c>
      <c r="C214" t="s">
        <v>11</v>
      </c>
      <c r="D214" t="s">
        <v>87</v>
      </c>
      <c r="E214" t="s">
        <v>89</v>
      </c>
      <c r="F214" t="s">
        <v>16</v>
      </c>
      <c r="G214" t="s">
        <v>91</v>
      </c>
      <c r="H214" s="2">
        <v>15</v>
      </c>
      <c r="I214" s="2">
        <v>1</v>
      </c>
      <c r="J214" s="3">
        <v>16.989999999999998</v>
      </c>
      <c r="K214" t="s">
        <v>13</v>
      </c>
      <c r="L214" s="3">
        <f t="shared" si="9"/>
        <v>1.1326666666666665</v>
      </c>
      <c r="M214" t="str">
        <f t="shared" si="10"/>
        <v>Sunday</v>
      </c>
      <c r="N214" t="str">
        <f t="shared" si="11"/>
        <v>Low</v>
      </c>
    </row>
    <row r="215" spans="1:14" x14ac:dyDescent="0.35">
      <c r="A215">
        <v>1496020392</v>
      </c>
      <c r="B215" s="1">
        <v>42883</v>
      </c>
      <c r="C215" t="s">
        <v>11</v>
      </c>
      <c r="D215" t="s">
        <v>87</v>
      </c>
      <c r="E215" t="s">
        <v>89</v>
      </c>
      <c r="F215" t="s">
        <v>12</v>
      </c>
      <c r="G215" t="s">
        <v>90</v>
      </c>
      <c r="H215" s="2">
        <v>32</v>
      </c>
      <c r="I215" s="2">
        <v>1</v>
      </c>
      <c r="J215" s="3">
        <v>16.989999999999998</v>
      </c>
      <c r="K215" t="s">
        <v>13</v>
      </c>
      <c r="L215" s="3">
        <f t="shared" si="9"/>
        <v>0.53093749999999995</v>
      </c>
      <c r="M215" t="str">
        <f t="shared" si="10"/>
        <v>Sunday</v>
      </c>
      <c r="N215" t="str">
        <f t="shared" si="11"/>
        <v>Low</v>
      </c>
    </row>
    <row r="216" spans="1:14" x14ac:dyDescent="0.35">
      <c r="A216">
        <v>1496857407</v>
      </c>
      <c r="B216" s="1">
        <v>42893</v>
      </c>
      <c r="C216" t="s">
        <v>45</v>
      </c>
      <c r="D216" t="s">
        <v>18</v>
      </c>
      <c r="E216" t="s">
        <v>89</v>
      </c>
      <c r="F216" t="s">
        <v>12</v>
      </c>
      <c r="G216" t="s">
        <v>91</v>
      </c>
      <c r="H216" s="2">
        <v>16</v>
      </c>
      <c r="I216" s="2">
        <v>1</v>
      </c>
      <c r="J216" s="3">
        <v>16.989999999999998</v>
      </c>
      <c r="K216" t="s">
        <v>13</v>
      </c>
      <c r="L216" s="3">
        <f t="shared" si="9"/>
        <v>1.0618749999999999</v>
      </c>
      <c r="M216" t="str">
        <f t="shared" si="10"/>
        <v>Wednesday</v>
      </c>
      <c r="N216" t="str">
        <f t="shared" si="11"/>
        <v>Low</v>
      </c>
    </row>
    <row r="217" spans="1:14" x14ac:dyDescent="0.35">
      <c r="A217">
        <v>1477158751</v>
      </c>
      <c r="B217" s="1">
        <v>42665</v>
      </c>
      <c r="C217" t="s">
        <v>11</v>
      </c>
      <c r="D217" t="s">
        <v>87</v>
      </c>
      <c r="E217" t="s">
        <v>89</v>
      </c>
      <c r="F217" t="s">
        <v>16</v>
      </c>
      <c r="G217" t="s">
        <v>91</v>
      </c>
      <c r="H217" s="2">
        <v>16</v>
      </c>
      <c r="I217" s="2">
        <v>1</v>
      </c>
      <c r="J217" s="3">
        <v>16.989999999999998</v>
      </c>
      <c r="K217" t="s">
        <v>13</v>
      </c>
      <c r="L217" s="3">
        <f t="shared" si="9"/>
        <v>1.0618749999999999</v>
      </c>
      <c r="M217" t="str">
        <f t="shared" si="10"/>
        <v>Saturday</v>
      </c>
      <c r="N217" t="str">
        <f t="shared" si="11"/>
        <v>Low</v>
      </c>
    </row>
    <row r="218" spans="1:14" x14ac:dyDescent="0.35">
      <c r="A218">
        <v>1481506874</v>
      </c>
      <c r="B218" s="1">
        <v>42715</v>
      </c>
      <c r="C218" t="s">
        <v>11</v>
      </c>
      <c r="D218" t="s">
        <v>87</v>
      </c>
      <c r="E218" t="s">
        <v>89</v>
      </c>
      <c r="F218" t="s">
        <v>12</v>
      </c>
      <c r="G218" t="s">
        <v>91</v>
      </c>
      <c r="H218" s="2">
        <v>22</v>
      </c>
      <c r="I218" s="2">
        <v>1</v>
      </c>
      <c r="J218" s="3">
        <v>16.989999999999998</v>
      </c>
      <c r="K218" t="s">
        <v>13</v>
      </c>
      <c r="L218" s="3">
        <f t="shared" si="9"/>
        <v>0.77227272727272722</v>
      </c>
      <c r="M218" t="str">
        <f t="shared" si="10"/>
        <v>Sunday</v>
      </c>
      <c r="N218" t="str">
        <f t="shared" si="11"/>
        <v>Low</v>
      </c>
    </row>
    <row r="219" spans="1:14" x14ac:dyDescent="0.35">
      <c r="A219">
        <v>1475764064</v>
      </c>
      <c r="B219" s="1">
        <v>42649</v>
      </c>
      <c r="C219" t="s">
        <v>11</v>
      </c>
      <c r="D219" t="s">
        <v>87</v>
      </c>
      <c r="E219" t="s">
        <v>89</v>
      </c>
      <c r="F219" t="s">
        <v>12</v>
      </c>
      <c r="G219" t="s">
        <v>91</v>
      </c>
      <c r="H219" s="2">
        <v>21</v>
      </c>
      <c r="I219" s="2">
        <v>1</v>
      </c>
      <c r="J219" s="3">
        <v>16.989999999999998</v>
      </c>
      <c r="K219" t="s">
        <v>13</v>
      </c>
      <c r="L219" s="3">
        <f t="shared" si="9"/>
        <v>0.80904761904761902</v>
      </c>
      <c r="M219" t="str">
        <f t="shared" si="10"/>
        <v>Thursday</v>
      </c>
      <c r="N219" t="str">
        <f t="shared" si="11"/>
        <v>Low</v>
      </c>
    </row>
    <row r="220" spans="1:14" x14ac:dyDescent="0.35">
      <c r="A220">
        <v>1477275741</v>
      </c>
      <c r="B220" s="1">
        <v>42666</v>
      </c>
      <c r="C220" t="s">
        <v>11</v>
      </c>
      <c r="D220" t="s">
        <v>87</v>
      </c>
      <c r="E220" t="s">
        <v>89</v>
      </c>
      <c r="F220" t="s">
        <v>16</v>
      </c>
      <c r="G220" t="s">
        <v>91</v>
      </c>
      <c r="H220" s="2">
        <v>18</v>
      </c>
      <c r="I220" s="2">
        <v>1</v>
      </c>
      <c r="J220" s="3">
        <v>16.989999999999998</v>
      </c>
      <c r="K220" t="s">
        <v>13</v>
      </c>
      <c r="L220" s="3">
        <f t="shared" si="9"/>
        <v>0.94388888888888878</v>
      </c>
      <c r="M220" t="str">
        <f t="shared" si="10"/>
        <v>Sunday</v>
      </c>
      <c r="N220" t="str">
        <f t="shared" si="11"/>
        <v>Low</v>
      </c>
    </row>
    <row r="221" spans="1:14" x14ac:dyDescent="0.35">
      <c r="A221">
        <v>1480389578</v>
      </c>
      <c r="B221" s="1">
        <v>42702</v>
      </c>
      <c r="C221" t="s">
        <v>11</v>
      </c>
      <c r="D221" t="s">
        <v>87</v>
      </c>
      <c r="E221" t="s">
        <v>89</v>
      </c>
      <c r="F221" t="s">
        <v>12</v>
      </c>
      <c r="G221" t="s">
        <v>91</v>
      </c>
      <c r="H221" s="2">
        <v>54</v>
      </c>
      <c r="I221" s="2">
        <v>1</v>
      </c>
      <c r="J221" s="3">
        <v>16.989999999999998</v>
      </c>
      <c r="K221" t="s">
        <v>13</v>
      </c>
      <c r="L221" s="3">
        <f t="shared" si="9"/>
        <v>0.31462962962962959</v>
      </c>
      <c r="M221" t="str">
        <f t="shared" si="10"/>
        <v>Monday</v>
      </c>
      <c r="N221" t="str">
        <f t="shared" si="11"/>
        <v>Low</v>
      </c>
    </row>
    <row r="222" spans="1:14" x14ac:dyDescent="0.35">
      <c r="A222">
        <v>1476076187</v>
      </c>
      <c r="B222" s="1">
        <v>42652</v>
      </c>
      <c r="C222" t="s">
        <v>11</v>
      </c>
      <c r="D222" t="s">
        <v>25</v>
      </c>
      <c r="E222" t="s">
        <v>89</v>
      </c>
      <c r="F222" t="s">
        <v>12</v>
      </c>
      <c r="G222" t="s">
        <v>91</v>
      </c>
      <c r="H222" s="2">
        <v>13</v>
      </c>
      <c r="I222" s="2">
        <v>1</v>
      </c>
      <c r="J222" s="3">
        <v>16.989999999999998</v>
      </c>
      <c r="K222" t="s">
        <v>13</v>
      </c>
      <c r="L222" s="3">
        <f t="shared" si="9"/>
        <v>1.3069230769230769</v>
      </c>
      <c r="M222" t="str">
        <f t="shared" si="10"/>
        <v>Sunday</v>
      </c>
      <c r="N222" t="str">
        <f t="shared" si="11"/>
        <v>Low</v>
      </c>
    </row>
    <row r="223" spans="1:14" x14ac:dyDescent="0.35">
      <c r="A223">
        <v>1492195574</v>
      </c>
      <c r="B223" s="1">
        <v>42839</v>
      </c>
      <c r="C223" t="s">
        <v>11</v>
      </c>
      <c r="D223" t="s">
        <v>15</v>
      </c>
      <c r="E223" t="s">
        <v>89</v>
      </c>
      <c r="F223" t="s">
        <v>16</v>
      </c>
      <c r="G223" t="s">
        <v>90</v>
      </c>
      <c r="H223" s="2">
        <v>30</v>
      </c>
      <c r="I223" s="2">
        <v>1</v>
      </c>
      <c r="J223" s="3">
        <v>16.989999999999998</v>
      </c>
      <c r="K223" t="s">
        <v>13</v>
      </c>
      <c r="L223" s="3">
        <f t="shared" si="9"/>
        <v>0.56633333333333324</v>
      </c>
      <c r="M223" t="str">
        <f t="shared" si="10"/>
        <v>Friday</v>
      </c>
      <c r="N223" t="str">
        <f t="shared" si="11"/>
        <v>Low</v>
      </c>
    </row>
    <row r="224" spans="1:14" x14ac:dyDescent="0.35">
      <c r="A224">
        <v>1478570923</v>
      </c>
      <c r="B224" s="1">
        <v>42681</v>
      </c>
      <c r="C224" t="s">
        <v>11</v>
      </c>
      <c r="D224" t="s">
        <v>46</v>
      </c>
      <c r="E224" t="s">
        <v>89</v>
      </c>
      <c r="F224" t="s">
        <v>12</v>
      </c>
      <c r="G224" t="s">
        <v>91</v>
      </c>
      <c r="H224" s="2">
        <v>24</v>
      </c>
      <c r="I224" s="2">
        <v>1</v>
      </c>
      <c r="J224" s="3">
        <v>16.989999999999998</v>
      </c>
      <c r="K224" t="s">
        <v>13</v>
      </c>
      <c r="L224" s="3">
        <f t="shared" si="9"/>
        <v>0.70791666666666664</v>
      </c>
      <c r="M224" t="str">
        <f t="shared" si="10"/>
        <v>Monday</v>
      </c>
      <c r="N224" t="str">
        <f t="shared" si="11"/>
        <v>Low</v>
      </c>
    </row>
    <row r="225" spans="1:14" x14ac:dyDescent="0.35">
      <c r="A225">
        <v>1484540759</v>
      </c>
      <c r="B225" s="1">
        <v>42750</v>
      </c>
      <c r="C225" t="s">
        <v>11</v>
      </c>
      <c r="D225" t="s">
        <v>87</v>
      </c>
      <c r="E225" t="s">
        <v>89</v>
      </c>
      <c r="F225" t="s">
        <v>16</v>
      </c>
      <c r="G225" t="s">
        <v>91</v>
      </c>
      <c r="H225" s="2">
        <v>20</v>
      </c>
      <c r="I225" s="2">
        <v>1</v>
      </c>
      <c r="J225" s="3">
        <v>16.989999999999998</v>
      </c>
      <c r="K225" t="s">
        <v>13</v>
      </c>
      <c r="L225" s="3">
        <f t="shared" si="9"/>
        <v>0.84949999999999992</v>
      </c>
      <c r="M225" t="str">
        <f t="shared" si="10"/>
        <v>Sunday</v>
      </c>
      <c r="N225" t="str">
        <f t="shared" si="11"/>
        <v>Low</v>
      </c>
    </row>
    <row r="226" spans="1:14" x14ac:dyDescent="0.35">
      <c r="A226">
        <v>1476473113</v>
      </c>
      <c r="B226" s="1">
        <v>42657</v>
      </c>
      <c r="C226" t="s">
        <v>11</v>
      </c>
      <c r="D226" t="s">
        <v>87</v>
      </c>
      <c r="E226" t="s">
        <v>89</v>
      </c>
      <c r="F226" t="s">
        <v>16</v>
      </c>
      <c r="G226" t="s">
        <v>91</v>
      </c>
      <c r="H226" s="2">
        <v>28</v>
      </c>
      <c r="I226" s="2">
        <v>1</v>
      </c>
      <c r="J226" s="3">
        <v>16.989999999999998</v>
      </c>
      <c r="K226" t="s">
        <v>13</v>
      </c>
      <c r="L226" s="3">
        <f t="shared" si="9"/>
        <v>0.60678571428571426</v>
      </c>
      <c r="M226" t="str">
        <f t="shared" si="10"/>
        <v>Friday</v>
      </c>
      <c r="N226" t="str">
        <f t="shared" si="11"/>
        <v>Low</v>
      </c>
    </row>
    <row r="227" spans="1:14" x14ac:dyDescent="0.35">
      <c r="A227">
        <v>1500488286</v>
      </c>
      <c r="B227" s="1">
        <v>42935</v>
      </c>
      <c r="C227" t="s">
        <v>11</v>
      </c>
      <c r="D227" t="s">
        <v>87</v>
      </c>
      <c r="E227" t="s">
        <v>89</v>
      </c>
      <c r="F227" t="s">
        <v>16</v>
      </c>
      <c r="G227" t="s">
        <v>90</v>
      </c>
      <c r="H227" s="2">
        <v>12</v>
      </c>
      <c r="I227" s="2">
        <v>1</v>
      </c>
      <c r="J227" s="3">
        <v>16.989999999999998</v>
      </c>
      <c r="K227" t="s">
        <v>13</v>
      </c>
      <c r="L227" s="3">
        <f t="shared" si="9"/>
        <v>1.4158333333333333</v>
      </c>
      <c r="M227" t="str">
        <f t="shared" si="10"/>
        <v>Wednesday</v>
      </c>
      <c r="N227" t="str">
        <f t="shared" si="11"/>
        <v>Low</v>
      </c>
    </row>
    <row r="228" spans="1:14" x14ac:dyDescent="0.35">
      <c r="A228">
        <v>1500656693</v>
      </c>
      <c r="B228" s="1">
        <v>42937</v>
      </c>
      <c r="C228" t="s">
        <v>11</v>
      </c>
      <c r="D228" t="s">
        <v>25</v>
      </c>
      <c r="E228" t="s">
        <v>89</v>
      </c>
      <c r="F228" t="s">
        <v>12</v>
      </c>
      <c r="G228" t="s">
        <v>90</v>
      </c>
      <c r="H228" s="2">
        <v>12</v>
      </c>
      <c r="I228" s="2">
        <v>1</v>
      </c>
      <c r="J228" s="3">
        <v>16.989999999999998</v>
      </c>
      <c r="K228" t="s">
        <v>13</v>
      </c>
      <c r="L228" s="3">
        <f t="shared" si="9"/>
        <v>1.4158333333333333</v>
      </c>
      <c r="M228" t="str">
        <f t="shared" si="10"/>
        <v>Friday</v>
      </c>
      <c r="N228" t="str">
        <f t="shared" si="11"/>
        <v>Low</v>
      </c>
    </row>
    <row r="229" spans="1:14" x14ac:dyDescent="0.35">
      <c r="A229">
        <v>1481487601</v>
      </c>
      <c r="B229" s="1">
        <v>42715</v>
      </c>
      <c r="C229" t="s">
        <v>11</v>
      </c>
      <c r="D229" t="s">
        <v>87</v>
      </c>
      <c r="E229" t="s">
        <v>89</v>
      </c>
      <c r="F229" t="s">
        <v>16</v>
      </c>
      <c r="G229" t="s">
        <v>91</v>
      </c>
      <c r="H229" s="2">
        <v>15</v>
      </c>
      <c r="I229" s="2">
        <v>1</v>
      </c>
      <c r="J229" s="3">
        <v>16.989999999999998</v>
      </c>
      <c r="K229" t="s">
        <v>13</v>
      </c>
      <c r="L229" s="3">
        <f t="shared" si="9"/>
        <v>1.1326666666666665</v>
      </c>
      <c r="M229" t="str">
        <f t="shared" si="10"/>
        <v>Sunday</v>
      </c>
      <c r="N229" t="str">
        <f t="shared" si="11"/>
        <v>Low</v>
      </c>
    </row>
    <row r="230" spans="1:14" x14ac:dyDescent="0.35">
      <c r="A230">
        <v>1493842998</v>
      </c>
      <c r="B230" s="1">
        <v>42858</v>
      </c>
      <c r="C230" t="s">
        <v>11</v>
      </c>
      <c r="D230" t="s">
        <v>23</v>
      </c>
      <c r="E230" t="s">
        <v>89</v>
      </c>
      <c r="F230" t="s">
        <v>12</v>
      </c>
      <c r="G230" t="s">
        <v>91</v>
      </c>
      <c r="H230" s="2">
        <v>18</v>
      </c>
      <c r="I230" s="2">
        <v>1</v>
      </c>
      <c r="J230" s="3">
        <v>16.989999999999998</v>
      </c>
      <c r="K230" t="s">
        <v>13</v>
      </c>
      <c r="L230" s="3">
        <f t="shared" si="9"/>
        <v>0.94388888888888878</v>
      </c>
      <c r="M230" t="str">
        <f t="shared" si="10"/>
        <v>Wednesday</v>
      </c>
      <c r="N230" t="str">
        <f t="shared" si="11"/>
        <v>Low</v>
      </c>
    </row>
    <row r="231" spans="1:14" x14ac:dyDescent="0.35">
      <c r="A231">
        <v>1500904908</v>
      </c>
      <c r="B231" s="1">
        <v>42940</v>
      </c>
      <c r="C231" t="s">
        <v>11</v>
      </c>
      <c r="D231" t="s">
        <v>87</v>
      </c>
      <c r="E231" t="s">
        <v>89</v>
      </c>
      <c r="F231" t="s">
        <v>12</v>
      </c>
      <c r="G231" t="s">
        <v>90</v>
      </c>
      <c r="H231" s="2">
        <v>21</v>
      </c>
      <c r="I231" s="2">
        <v>1</v>
      </c>
      <c r="J231" s="3">
        <v>16.989999999999998</v>
      </c>
      <c r="K231" t="s">
        <v>13</v>
      </c>
      <c r="L231" s="3">
        <f t="shared" si="9"/>
        <v>0.80904761904761902</v>
      </c>
      <c r="M231" t="str">
        <f t="shared" si="10"/>
        <v>Monday</v>
      </c>
      <c r="N231" t="str">
        <f t="shared" si="11"/>
        <v>Low</v>
      </c>
    </row>
    <row r="232" spans="1:14" x14ac:dyDescent="0.35">
      <c r="A232">
        <v>1495033423</v>
      </c>
      <c r="B232" s="1">
        <v>42872</v>
      </c>
      <c r="C232" t="s">
        <v>11</v>
      </c>
      <c r="D232" t="s">
        <v>87</v>
      </c>
      <c r="E232" t="s">
        <v>89</v>
      </c>
      <c r="F232" t="s">
        <v>16</v>
      </c>
      <c r="G232" t="s">
        <v>90</v>
      </c>
      <c r="H232" s="2">
        <v>25</v>
      </c>
      <c r="I232" s="2">
        <v>1</v>
      </c>
      <c r="J232" s="3">
        <v>16.989999999999998</v>
      </c>
      <c r="K232" t="s">
        <v>13</v>
      </c>
      <c r="L232" s="3">
        <f t="shared" si="9"/>
        <v>0.67959999999999998</v>
      </c>
      <c r="M232" t="str">
        <f t="shared" si="10"/>
        <v>Wednesday</v>
      </c>
      <c r="N232" t="str">
        <f t="shared" si="11"/>
        <v>Low</v>
      </c>
    </row>
    <row r="233" spans="1:14" x14ac:dyDescent="0.35">
      <c r="A233">
        <v>1477275949</v>
      </c>
      <c r="B233" s="1">
        <v>42666</v>
      </c>
      <c r="C233" t="s">
        <v>11</v>
      </c>
      <c r="D233" t="s">
        <v>87</v>
      </c>
      <c r="E233" t="s">
        <v>89</v>
      </c>
      <c r="F233" t="s">
        <v>16</v>
      </c>
      <c r="G233" t="s">
        <v>91</v>
      </c>
      <c r="H233" s="2">
        <v>45</v>
      </c>
      <c r="I233" s="2">
        <v>1</v>
      </c>
      <c r="J233" s="3">
        <v>16.989999999999998</v>
      </c>
      <c r="K233" t="s">
        <v>13</v>
      </c>
      <c r="L233" s="3">
        <f t="shared" si="9"/>
        <v>0.37755555555555553</v>
      </c>
      <c r="M233" t="str">
        <f t="shared" si="10"/>
        <v>Sunday</v>
      </c>
      <c r="N233" t="str">
        <f t="shared" si="11"/>
        <v>Low</v>
      </c>
    </row>
    <row r="234" spans="1:14" x14ac:dyDescent="0.35">
      <c r="A234">
        <v>1477508539</v>
      </c>
      <c r="B234" s="1">
        <v>42669</v>
      </c>
      <c r="C234" t="s">
        <v>11</v>
      </c>
      <c r="D234" t="s">
        <v>21</v>
      </c>
      <c r="E234" t="s">
        <v>89</v>
      </c>
      <c r="F234" t="s">
        <v>12</v>
      </c>
      <c r="G234" t="s">
        <v>91</v>
      </c>
      <c r="H234" s="2">
        <v>10</v>
      </c>
      <c r="I234" s="2">
        <v>1</v>
      </c>
      <c r="J234" s="3">
        <v>16.989999999999998</v>
      </c>
      <c r="K234" t="s">
        <v>13</v>
      </c>
      <c r="L234" s="3">
        <f t="shared" si="9"/>
        <v>1.6989999999999998</v>
      </c>
      <c r="M234" t="str">
        <f t="shared" si="10"/>
        <v>Wednesday</v>
      </c>
      <c r="N234" t="str">
        <f t="shared" si="11"/>
        <v>Low</v>
      </c>
    </row>
    <row r="235" spans="1:14" x14ac:dyDescent="0.35">
      <c r="A235">
        <v>1485229585</v>
      </c>
      <c r="B235" s="1">
        <v>42758</v>
      </c>
      <c r="C235" t="s">
        <v>11</v>
      </c>
      <c r="D235" t="s">
        <v>87</v>
      </c>
      <c r="E235" t="s">
        <v>89</v>
      </c>
      <c r="F235" t="s">
        <v>16</v>
      </c>
      <c r="G235" t="s">
        <v>91</v>
      </c>
      <c r="H235" s="2">
        <v>24</v>
      </c>
      <c r="I235" s="2">
        <v>1</v>
      </c>
      <c r="J235" s="3">
        <v>16.989999999999998</v>
      </c>
      <c r="K235" t="s">
        <v>13</v>
      </c>
      <c r="L235" s="3">
        <f t="shared" si="9"/>
        <v>0.70791666666666664</v>
      </c>
      <c r="M235" t="str">
        <f t="shared" si="10"/>
        <v>Monday</v>
      </c>
      <c r="N235" t="str">
        <f t="shared" si="11"/>
        <v>Low</v>
      </c>
    </row>
    <row r="236" spans="1:14" x14ac:dyDescent="0.35">
      <c r="A236">
        <v>1486326864</v>
      </c>
      <c r="B236" s="1">
        <v>42771</v>
      </c>
      <c r="C236" t="s">
        <v>11</v>
      </c>
      <c r="D236" t="s">
        <v>87</v>
      </c>
      <c r="E236" t="s">
        <v>89</v>
      </c>
      <c r="F236" t="s">
        <v>12</v>
      </c>
      <c r="G236" t="s">
        <v>91</v>
      </c>
      <c r="H236" s="2">
        <v>17</v>
      </c>
      <c r="I236" s="2">
        <v>1</v>
      </c>
      <c r="J236" s="3">
        <v>16.989999999999998</v>
      </c>
      <c r="K236" t="s">
        <v>13</v>
      </c>
      <c r="L236" s="3">
        <f t="shared" si="9"/>
        <v>0.99941176470588222</v>
      </c>
      <c r="M236" t="str">
        <f t="shared" si="10"/>
        <v>Sunday</v>
      </c>
      <c r="N236" t="str">
        <f t="shared" si="11"/>
        <v>Low</v>
      </c>
    </row>
    <row r="237" spans="1:14" x14ac:dyDescent="0.35">
      <c r="A237">
        <v>1480536898</v>
      </c>
      <c r="B237" s="1">
        <v>42704</v>
      </c>
      <c r="C237" t="s">
        <v>40</v>
      </c>
      <c r="D237" t="s">
        <v>87</v>
      </c>
      <c r="E237" t="s">
        <v>89</v>
      </c>
      <c r="F237" t="s">
        <v>16</v>
      </c>
      <c r="G237" t="s">
        <v>91</v>
      </c>
      <c r="H237" s="2">
        <v>7</v>
      </c>
      <c r="I237" s="2">
        <v>1</v>
      </c>
      <c r="J237" s="3">
        <v>16.989999999999998</v>
      </c>
      <c r="K237" t="s">
        <v>13</v>
      </c>
      <c r="L237" s="3">
        <f t="shared" si="9"/>
        <v>2.427142857142857</v>
      </c>
      <c r="M237" t="str">
        <f t="shared" si="10"/>
        <v>Wednesday</v>
      </c>
      <c r="N237" t="str">
        <f t="shared" si="11"/>
        <v>Low</v>
      </c>
    </row>
    <row r="238" spans="1:14" x14ac:dyDescent="0.35">
      <c r="A238">
        <v>1492189611</v>
      </c>
      <c r="B238" s="1">
        <v>42839</v>
      </c>
      <c r="C238" t="s">
        <v>40</v>
      </c>
      <c r="D238" t="s">
        <v>47</v>
      </c>
      <c r="E238" t="s">
        <v>89</v>
      </c>
      <c r="F238" t="s">
        <v>12</v>
      </c>
      <c r="G238" t="s">
        <v>90</v>
      </c>
      <c r="H238" s="2">
        <v>16</v>
      </c>
      <c r="I238" s="2">
        <v>1</v>
      </c>
      <c r="J238" s="3">
        <v>16.989999999999998</v>
      </c>
      <c r="K238" t="s">
        <v>13</v>
      </c>
      <c r="L238" s="3">
        <f t="shared" si="9"/>
        <v>1.0618749999999999</v>
      </c>
      <c r="M238" t="str">
        <f t="shared" si="10"/>
        <v>Friday</v>
      </c>
      <c r="N238" t="str">
        <f t="shared" si="11"/>
        <v>Low</v>
      </c>
    </row>
    <row r="239" spans="1:14" x14ac:dyDescent="0.35">
      <c r="A239">
        <v>1495065571</v>
      </c>
      <c r="B239" s="1">
        <v>42872</v>
      </c>
      <c r="C239" t="s">
        <v>11</v>
      </c>
      <c r="D239" t="s">
        <v>87</v>
      </c>
      <c r="E239" t="s">
        <v>89</v>
      </c>
      <c r="F239" t="s">
        <v>12</v>
      </c>
      <c r="G239" t="s">
        <v>90</v>
      </c>
      <c r="H239" s="2">
        <v>19</v>
      </c>
      <c r="I239" s="2">
        <v>1</v>
      </c>
      <c r="J239" s="3">
        <v>16.989999999999998</v>
      </c>
      <c r="K239" t="s">
        <v>13</v>
      </c>
      <c r="L239" s="3">
        <f t="shared" si="9"/>
        <v>0.89421052631578934</v>
      </c>
      <c r="M239" t="str">
        <f t="shared" si="10"/>
        <v>Wednesday</v>
      </c>
      <c r="N239" t="str">
        <f t="shared" si="11"/>
        <v>Low</v>
      </c>
    </row>
    <row r="240" spans="1:14" x14ac:dyDescent="0.35">
      <c r="A240">
        <v>1493930916</v>
      </c>
      <c r="B240" s="1">
        <v>42859</v>
      </c>
      <c r="C240" t="s">
        <v>11</v>
      </c>
      <c r="D240" t="s">
        <v>48</v>
      </c>
      <c r="E240" t="s">
        <v>89</v>
      </c>
      <c r="F240" t="s">
        <v>16</v>
      </c>
      <c r="G240" t="s">
        <v>90</v>
      </c>
      <c r="H240" s="2">
        <v>16</v>
      </c>
      <c r="I240" s="2">
        <v>1</v>
      </c>
      <c r="J240" s="3">
        <v>16.989999999999998</v>
      </c>
      <c r="K240" t="s">
        <v>13</v>
      </c>
      <c r="L240" s="3">
        <f t="shared" si="9"/>
        <v>1.0618749999999999</v>
      </c>
      <c r="M240" t="str">
        <f t="shared" si="10"/>
        <v>Thursday</v>
      </c>
      <c r="N240" t="str">
        <f t="shared" si="11"/>
        <v>Low</v>
      </c>
    </row>
    <row r="241" spans="1:14" x14ac:dyDescent="0.35">
      <c r="A241">
        <v>1498775451</v>
      </c>
      <c r="B241" s="1">
        <v>42915</v>
      </c>
      <c r="C241" t="s">
        <v>11</v>
      </c>
      <c r="D241" t="s">
        <v>29</v>
      </c>
      <c r="E241" t="s">
        <v>89</v>
      </c>
      <c r="F241" t="s">
        <v>12</v>
      </c>
      <c r="G241" t="s">
        <v>90</v>
      </c>
      <c r="H241" s="2">
        <v>30</v>
      </c>
      <c r="I241" s="2">
        <v>1</v>
      </c>
      <c r="J241" s="3">
        <v>16.989999999999998</v>
      </c>
      <c r="K241" t="s">
        <v>13</v>
      </c>
      <c r="L241" s="3">
        <f t="shared" si="9"/>
        <v>0.56633333333333324</v>
      </c>
      <c r="M241" t="str">
        <f t="shared" si="10"/>
        <v>Thursday</v>
      </c>
      <c r="N241" t="str">
        <f t="shared" si="11"/>
        <v>Low</v>
      </c>
    </row>
    <row r="242" spans="1:14" x14ac:dyDescent="0.35">
      <c r="A242">
        <v>1481119193</v>
      </c>
      <c r="B242" s="1">
        <v>42711</v>
      </c>
      <c r="C242" t="s">
        <v>11</v>
      </c>
      <c r="D242" t="s">
        <v>38</v>
      </c>
      <c r="E242" t="s">
        <v>89</v>
      </c>
      <c r="F242" t="s">
        <v>12</v>
      </c>
      <c r="G242" t="s">
        <v>91</v>
      </c>
      <c r="H242" s="2">
        <v>19</v>
      </c>
      <c r="I242" s="2">
        <v>1</v>
      </c>
      <c r="J242" s="3">
        <v>16.989999999999998</v>
      </c>
      <c r="K242" t="s">
        <v>13</v>
      </c>
      <c r="L242" s="3">
        <f t="shared" si="9"/>
        <v>0.89421052631578934</v>
      </c>
      <c r="M242" t="str">
        <f t="shared" si="10"/>
        <v>Wednesday</v>
      </c>
      <c r="N242" t="str">
        <f t="shared" si="11"/>
        <v>Low</v>
      </c>
    </row>
    <row r="243" spans="1:14" x14ac:dyDescent="0.35">
      <c r="A243">
        <v>1493167947</v>
      </c>
      <c r="B243" s="1">
        <v>42850</v>
      </c>
      <c r="C243" t="s">
        <v>11</v>
      </c>
      <c r="D243" t="s">
        <v>87</v>
      </c>
      <c r="E243" t="s">
        <v>89</v>
      </c>
      <c r="F243" t="s">
        <v>16</v>
      </c>
      <c r="G243" t="s">
        <v>90</v>
      </c>
      <c r="H243" s="2">
        <v>26</v>
      </c>
      <c r="I243" s="2">
        <v>1</v>
      </c>
      <c r="J243" s="3">
        <v>16.989999999999998</v>
      </c>
      <c r="K243" t="s">
        <v>13</v>
      </c>
      <c r="L243" s="3">
        <f t="shared" si="9"/>
        <v>0.65346153846153843</v>
      </c>
      <c r="M243" t="str">
        <f t="shared" si="10"/>
        <v>Tuesday</v>
      </c>
      <c r="N243" t="str">
        <f t="shared" si="11"/>
        <v>Low</v>
      </c>
    </row>
    <row r="244" spans="1:14" x14ac:dyDescent="0.35">
      <c r="A244">
        <v>1475628538</v>
      </c>
      <c r="B244" s="1">
        <v>42647</v>
      </c>
      <c r="C244" t="s">
        <v>11</v>
      </c>
      <c r="D244" t="s">
        <v>87</v>
      </c>
      <c r="E244" t="s">
        <v>89</v>
      </c>
      <c r="F244" t="s">
        <v>12</v>
      </c>
      <c r="G244" t="s">
        <v>91</v>
      </c>
      <c r="H244" s="2">
        <v>15</v>
      </c>
      <c r="I244" s="2">
        <v>1</v>
      </c>
      <c r="J244" s="3">
        <v>16.989999999999998</v>
      </c>
      <c r="K244" t="s">
        <v>13</v>
      </c>
      <c r="L244" s="3">
        <f t="shared" si="9"/>
        <v>1.1326666666666665</v>
      </c>
      <c r="M244" t="str">
        <f t="shared" si="10"/>
        <v>Tuesday</v>
      </c>
      <c r="N244" t="str">
        <f t="shared" si="11"/>
        <v>Low</v>
      </c>
    </row>
    <row r="245" spans="1:14" x14ac:dyDescent="0.35">
      <c r="A245">
        <v>1479597080</v>
      </c>
      <c r="B245" s="1">
        <v>42693</v>
      </c>
      <c r="C245" t="s">
        <v>40</v>
      </c>
      <c r="D245" t="s">
        <v>87</v>
      </c>
      <c r="E245" t="s">
        <v>89</v>
      </c>
      <c r="F245" t="s">
        <v>12</v>
      </c>
      <c r="G245" t="s">
        <v>90</v>
      </c>
      <c r="H245" s="2">
        <v>20</v>
      </c>
      <c r="I245" s="2">
        <v>1</v>
      </c>
      <c r="J245" s="3">
        <v>16.989999999999998</v>
      </c>
      <c r="K245" t="s">
        <v>13</v>
      </c>
      <c r="L245" s="3">
        <f t="shared" si="9"/>
        <v>0.84949999999999992</v>
      </c>
      <c r="M245" t="str">
        <f t="shared" si="10"/>
        <v>Saturday</v>
      </c>
      <c r="N245" t="str">
        <f t="shared" si="11"/>
        <v>Low</v>
      </c>
    </row>
    <row r="246" spans="1:14" x14ac:dyDescent="0.35">
      <c r="A246">
        <v>1495073150</v>
      </c>
      <c r="B246" s="1">
        <v>42872</v>
      </c>
      <c r="C246" t="s">
        <v>11</v>
      </c>
      <c r="D246" t="s">
        <v>87</v>
      </c>
      <c r="E246" t="s">
        <v>89</v>
      </c>
      <c r="F246" t="s">
        <v>16</v>
      </c>
      <c r="G246" t="s">
        <v>90</v>
      </c>
      <c r="H246" s="2">
        <v>10</v>
      </c>
      <c r="I246" s="2">
        <v>1</v>
      </c>
      <c r="J246" s="3">
        <v>16.989999999999998</v>
      </c>
      <c r="K246" t="s">
        <v>13</v>
      </c>
      <c r="L246" s="3">
        <f t="shared" si="9"/>
        <v>1.6989999999999998</v>
      </c>
      <c r="M246" t="str">
        <f t="shared" si="10"/>
        <v>Wednesday</v>
      </c>
      <c r="N246" t="str">
        <f t="shared" si="11"/>
        <v>Low</v>
      </c>
    </row>
    <row r="247" spans="1:14" x14ac:dyDescent="0.35">
      <c r="A247">
        <v>1492366041</v>
      </c>
      <c r="B247" s="1">
        <v>42841</v>
      </c>
      <c r="C247" t="s">
        <v>11</v>
      </c>
      <c r="D247" t="s">
        <v>87</v>
      </c>
      <c r="E247" t="s">
        <v>89</v>
      </c>
      <c r="F247" t="s">
        <v>12</v>
      </c>
      <c r="G247" t="s">
        <v>90</v>
      </c>
      <c r="H247" s="2">
        <v>16</v>
      </c>
      <c r="I247" s="2">
        <v>1</v>
      </c>
      <c r="J247" s="3">
        <v>16.989999999999998</v>
      </c>
      <c r="K247" t="s">
        <v>13</v>
      </c>
      <c r="L247" s="3">
        <f t="shared" si="9"/>
        <v>1.0618749999999999</v>
      </c>
      <c r="M247" t="str">
        <f t="shared" si="10"/>
        <v>Sunday</v>
      </c>
      <c r="N247" t="str">
        <f t="shared" si="11"/>
        <v>Low</v>
      </c>
    </row>
    <row r="248" spans="1:14" x14ac:dyDescent="0.35">
      <c r="A248">
        <v>1494596183</v>
      </c>
      <c r="B248" s="1">
        <v>42867</v>
      </c>
      <c r="C248" t="s">
        <v>11</v>
      </c>
      <c r="D248" t="s">
        <v>18</v>
      </c>
      <c r="E248" t="s">
        <v>89</v>
      </c>
      <c r="F248" t="s">
        <v>16</v>
      </c>
      <c r="G248" t="s">
        <v>90</v>
      </c>
      <c r="H248" s="2">
        <v>21</v>
      </c>
      <c r="I248" s="2">
        <v>1</v>
      </c>
      <c r="J248" s="3">
        <v>16.989999999999998</v>
      </c>
      <c r="K248" t="s">
        <v>13</v>
      </c>
      <c r="L248" s="3">
        <f t="shared" si="9"/>
        <v>0.80904761904761902</v>
      </c>
      <c r="M248" t="str">
        <f t="shared" si="10"/>
        <v>Friday</v>
      </c>
      <c r="N248" t="str">
        <f t="shared" si="11"/>
        <v>Low</v>
      </c>
    </row>
    <row r="249" spans="1:14" x14ac:dyDescent="0.35">
      <c r="A249">
        <v>1483034145</v>
      </c>
      <c r="B249" s="1">
        <v>42733</v>
      </c>
      <c r="C249" t="s">
        <v>40</v>
      </c>
      <c r="D249" t="s">
        <v>47</v>
      </c>
      <c r="E249" t="s">
        <v>89</v>
      </c>
      <c r="F249" t="s">
        <v>16</v>
      </c>
      <c r="G249" t="s">
        <v>91</v>
      </c>
      <c r="H249" s="2">
        <v>9</v>
      </c>
      <c r="I249" s="2">
        <v>1</v>
      </c>
      <c r="J249" s="3">
        <v>16.989999999999998</v>
      </c>
      <c r="K249" t="s">
        <v>13</v>
      </c>
      <c r="L249" s="3">
        <f t="shared" si="9"/>
        <v>1.8877777777777776</v>
      </c>
      <c r="M249" t="str">
        <f t="shared" si="10"/>
        <v>Thursday</v>
      </c>
      <c r="N249" t="str">
        <f t="shared" si="11"/>
        <v>Low</v>
      </c>
    </row>
    <row r="250" spans="1:14" x14ac:dyDescent="0.35">
      <c r="A250">
        <v>1491407500</v>
      </c>
      <c r="B250" s="1">
        <v>42830</v>
      </c>
      <c r="C250" t="s">
        <v>11</v>
      </c>
      <c r="D250" t="s">
        <v>87</v>
      </c>
      <c r="E250" t="s">
        <v>89</v>
      </c>
      <c r="F250" t="s">
        <v>12</v>
      </c>
      <c r="G250" t="s">
        <v>91</v>
      </c>
      <c r="H250" s="2">
        <v>15</v>
      </c>
      <c r="I250" s="2">
        <v>1</v>
      </c>
      <c r="J250" s="3">
        <v>16.989999999999998</v>
      </c>
      <c r="K250" t="s">
        <v>13</v>
      </c>
      <c r="L250" s="3">
        <f t="shared" si="9"/>
        <v>1.1326666666666665</v>
      </c>
      <c r="M250" t="str">
        <f t="shared" si="10"/>
        <v>Wednesday</v>
      </c>
      <c r="N250" t="str">
        <f t="shared" si="11"/>
        <v>Low</v>
      </c>
    </row>
    <row r="251" spans="1:14" x14ac:dyDescent="0.35">
      <c r="A251">
        <v>1486615488</v>
      </c>
      <c r="B251" s="1">
        <v>42774</v>
      </c>
      <c r="C251" t="s">
        <v>11</v>
      </c>
      <c r="D251" t="s">
        <v>14</v>
      </c>
      <c r="E251" t="s">
        <v>89</v>
      </c>
      <c r="F251" t="s">
        <v>12</v>
      </c>
      <c r="G251" t="s">
        <v>91</v>
      </c>
      <c r="H251" s="2">
        <v>12</v>
      </c>
      <c r="I251" s="2">
        <v>1</v>
      </c>
      <c r="J251" s="3">
        <v>16.989999999999998</v>
      </c>
      <c r="K251" t="s">
        <v>13</v>
      </c>
      <c r="L251" s="3">
        <f t="shared" si="9"/>
        <v>1.4158333333333333</v>
      </c>
      <c r="M251" t="str">
        <f t="shared" si="10"/>
        <v>Wednesday</v>
      </c>
      <c r="N251" t="str">
        <f t="shared" si="11"/>
        <v>Low</v>
      </c>
    </row>
    <row r="252" spans="1:14" x14ac:dyDescent="0.35">
      <c r="A252">
        <v>1488213524</v>
      </c>
      <c r="B252" s="1">
        <v>42793</v>
      </c>
      <c r="C252" t="s">
        <v>11</v>
      </c>
      <c r="D252" t="s">
        <v>87</v>
      </c>
      <c r="E252" t="s">
        <v>89</v>
      </c>
      <c r="F252" t="s">
        <v>12</v>
      </c>
      <c r="G252" t="s">
        <v>91</v>
      </c>
      <c r="H252" s="2">
        <v>20</v>
      </c>
      <c r="I252" s="2">
        <v>1</v>
      </c>
      <c r="J252" s="3">
        <v>16.989999999999998</v>
      </c>
      <c r="K252" t="s">
        <v>13</v>
      </c>
      <c r="L252" s="3">
        <f t="shared" si="9"/>
        <v>0.84949999999999992</v>
      </c>
      <c r="M252" t="str">
        <f t="shared" si="10"/>
        <v>Monday</v>
      </c>
      <c r="N252" t="str">
        <f t="shared" si="11"/>
        <v>Low</v>
      </c>
    </row>
    <row r="253" spans="1:14" x14ac:dyDescent="0.35">
      <c r="A253">
        <v>1495138311</v>
      </c>
      <c r="B253" s="1">
        <v>42873</v>
      </c>
      <c r="C253" t="s">
        <v>11</v>
      </c>
      <c r="D253" t="s">
        <v>87</v>
      </c>
      <c r="E253" t="s">
        <v>89</v>
      </c>
      <c r="F253" t="s">
        <v>12</v>
      </c>
      <c r="G253" t="s">
        <v>90</v>
      </c>
      <c r="H253" s="2">
        <v>24</v>
      </c>
      <c r="I253" s="2">
        <v>1</v>
      </c>
      <c r="J253" s="3">
        <v>16.989999999999998</v>
      </c>
      <c r="K253" t="s">
        <v>13</v>
      </c>
      <c r="L253" s="3">
        <f t="shared" si="9"/>
        <v>0.70791666666666664</v>
      </c>
      <c r="M253" t="str">
        <f t="shared" si="10"/>
        <v>Thursday</v>
      </c>
      <c r="N253" t="str">
        <f t="shared" si="11"/>
        <v>Low</v>
      </c>
    </row>
    <row r="254" spans="1:14" x14ac:dyDescent="0.35">
      <c r="A254">
        <v>1499528402</v>
      </c>
      <c r="B254" s="1">
        <v>42924</v>
      </c>
      <c r="C254" t="s">
        <v>11</v>
      </c>
      <c r="D254" t="s">
        <v>87</v>
      </c>
      <c r="E254" t="s">
        <v>89</v>
      </c>
      <c r="F254" t="s">
        <v>16</v>
      </c>
      <c r="G254" t="s">
        <v>90</v>
      </c>
      <c r="H254" s="2">
        <v>15</v>
      </c>
      <c r="I254" s="2">
        <v>1</v>
      </c>
      <c r="J254" s="3">
        <v>16.989999999999998</v>
      </c>
      <c r="K254" t="s">
        <v>13</v>
      </c>
      <c r="L254" s="3">
        <f t="shared" si="9"/>
        <v>1.1326666666666665</v>
      </c>
      <c r="M254" t="str">
        <f t="shared" si="10"/>
        <v>Saturday</v>
      </c>
      <c r="N254" t="str">
        <f t="shared" si="11"/>
        <v>Low</v>
      </c>
    </row>
    <row r="255" spans="1:14" x14ac:dyDescent="0.35">
      <c r="A255">
        <v>1482002082</v>
      </c>
      <c r="B255" s="1">
        <v>42721</v>
      </c>
      <c r="C255" t="s">
        <v>11</v>
      </c>
      <c r="D255" t="s">
        <v>27</v>
      </c>
      <c r="E255" t="s">
        <v>89</v>
      </c>
      <c r="F255" t="s">
        <v>12</v>
      </c>
      <c r="G255" t="s">
        <v>91</v>
      </c>
      <c r="H255" s="2">
        <v>23</v>
      </c>
      <c r="I255" s="2">
        <v>1</v>
      </c>
      <c r="J255" s="3">
        <v>16.989999999999998</v>
      </c>
      <c r="K255" t="s">
        <v>13</v>
      </c>
      <c r="L255" s="3">
        <f t="shared" si="9"/>
        <v>0.73869565217391298</v>
      </c>
      <c r="M255" t="str">
        <f t="shared" si="10"/>
        <v>Saturday</v>
      </c>
      <c r="N255" t="str">
        <f t="shared" si="11"/>
        <v>Low</v>
      </c>
    </row>
    <row r="256" spans="1:14" x14ac:dyDescent="0.35">
      <c r="A256">
        <v>1478841444</v>
      </c>
      <c r="B256" s="1">
        <v>42684</v>
      </c>
      <c r="C256" t="s">
        <v>11</v>
      </c>
      <c r="D256" t="s">
        <v>87</v>
      </c>
      <c r="E256" t="s">
        <v>89</v>
      </c>
      <c r="F256" t="s">
        <v>12</v>
      </c>
      <c r="G256" t="s">
        <v>91</v>
      </c>
      <c r="H256" s="2">
        <v>26</v>
      </c>
      <c r="I256" s="2">
        <v>1</v>
      </c>
      <c r="J256" s="3">
        <v>16.989999999999998</v>
      </c>
      <c r="K256" t="s">
        <v>13</v>
      </c>
      <c r="L256" s="3">
        <f t="shared" si="9"/>
        <v>0.65346153846153843</v>
      </c>
      <c r="M256" t="str">
        <f t="shared" si="10"/>
        <v>Thursday</v>
      </c>
      <c r="N256" t="str">
        <f t="shared" si="11"/>
        <v>Low</v>
      </c>
    </row>
    <row r="257" spans="1:14" x14ac:dyDescent="0.35">
      <c r="A257">
        <v>1490977245</v>
      </c>
      <c r="B257" s="1">
        <v>42825</v>
      </c>
      <c r="C257" t="s">
        <v>11</v>
      </c>
      <c r="D257" t="s">
        <v>87</v>
      </c>
      <c r="E257" t="s">
        <v>89</v>
      </c>
      <c r="F257" t="s">
        <v>12</v>
      </c>
      <c r="G257" t="s">
        <v>90</v>
      </c>
      <c r="H257" s="2">
        <v>21</v>
      </c>
      <c r="I257" s="2">
        <v>1</v>
      </c>
      <c r="J257" s="3">
        <v>16.989999999999998</v>
      </c>
      <c r="K257" t="s">
        <v>13</v>
      </c>
      <c r="L257" s="3">
        <f t="shared" si="9"/>
        <v>0.80904761904761902</v>
      </c>
      <c r="M257" t="str">
        <f t="shared" si="10"/>
        <v>Friday</v>
      </c>
      <c r="N257" t="str">
        <f t="shared" si="11"/>
        <v>Low</v>
      </c>
    </row>
    <row r="258" spans="1:14" x14ac:dyDescent="0.35">
      <c r="A258">
        <v>1481925863</v>
      </c>
      <c r="B258" s="1">
        <v>42720</v>
      </c>
      <c r="C258" t="s">
        <v>11</v>
      </c>
      <c r="D258" t="s">
        <v>87</v>
      </c>
      <c r="E258" t="s">
        <v>89</v>
      </c>
      <c r="F258" t="s">
        <v>12</v>
      </c>
      <c r="G258" t="s">
        <v>91</v>
      </c>
      <c r="H258" s="2">
        <v>28</v>
      </c>
      <c r="I258" s="2">
        <v>1</v>
      </c>
      <c r="J258" s="3">
        <v>16.989999999999998</v>
      </c>
      <c r="K258" t="s">
        <v>13</v>
      </c>
      <c r="L258" s="3">
        <f t="shared" si="9"/>
        <v>0.60678571428571426</v>
      </c>
      <c r="M258" t="str">
        <f t="shared" si="10"/>
        <v>Friday</v>
      </c>
      <c r="N258" t="str">
        <f t="shared" si="11"/>
        <v>Low</v>
      </c>
    </row>
    <row r="259" spans="1:14" x14ac:dyDescent="0.35">
      <c r="A259">
        <v>1484528341</v>
      </c>
      <c r="B259" s="1">
        <v>42750</v>
      </c>
      <c r="C259" t="s">
        <v>11</v>
      </c>
      <c r="D259" t="s">
        <v>15</v>
      </c>
      <c r="E259" t="s">
        <v>89</v>
      </c>
      <c r="F259" t="s">
        <v>12</v>
      </c>
      <c r="G259" t="s">
        <v>91</v>
      </c>
      <c r="H259" s="2">
        <v>22</v>
      </c>
      <c r="I259" s="2">
        <v>1</v>
      </c>
      <c r="J259" s="3">
        <v>16.989999999999998</v>
      </c>
      <c r="K259" t="s">
        <v>13</v>
      </c>
      <c r="L259" s="3">
        <f t="shared" ref="L259:L322" si="12">J259/H259</f>
        <v>0.77227272727272722</v>
      </c>
      <c r="M259" t="str">
        <f t="shared" ref="M259:M322" si="13">TEXT(B259, "dddd")</f>
        <v>Sunday</v>
      </c>
      <c r="N259" t="str">
        <f t="shared" ref="N259:N322" si="14">IF(J259&gt;200,"High",IF(J259&gt;=20,"Medium","Low"))</f>
        <v>Low</v>
      </c>
    </row>
    <row r="260" spans="1:14" x14ac:dyDescent="0.35">
      <c r="A260">
        <v>1493510042</v>
      </c>
      <c r="B260" s="1">
        <v>42854</v>
      </c>
      <c r="C260" t="s">
        <v>49</v>
      </c>
      <c r="D260" t="s">
        <v>87</v>
      </c>
      <c r="E260" t="s">
        <v>89</v>
      </c>
      <c r="F260" t="s">
        <v>16</v>
      </c>
      <c r="G260" t="s">
        <v>90</v>
      </c>
      <c r="H260" s="2">
        <v>23</v>
      </c>
      <c r="I260" s="2">
        <v>1</v>
      </c>
      <c r="J260" s="3">
        <v>16.989999999999998</v>
      </c>
      <c r="K260" t="s">
        <v>13</v>
      </c>
      <c r="L260" s="3">
        <f t="shared" si="12"/>
        <v>0.73869565217391298</v>
      </c>
      <c r="M260" t="str">
        <f t="shared" si="13"/>
        <v>Saturday</v>
      </c>
      <c r="N260" t="str">
        <f t="shared" si="14"/>
        <v>Low</v>
      </c>
    </row>
    <row r="261" spans="1:14" x14ac:dyDescent="0.35">
      <c r="A261">
        <v>1482520854</v>
      </c>
      <c r="B261" s="1">
        <v>42727</v>
      </c>
      <c r="C261" t="s">
        <v>11</v>
      </c>
      <c r="D261" t="s">
        <v>87</v>
      </c>
      <c r="E261" t="s">
        <v>89</v>
      </c>
      <c r="F261" t="s">
        <v>12</v>
      </c>
      <c r="G261" t="s">
        <v>90</v>
      </c>
      <c r="H261" s="2">
        <v>14</v>
      </c>
      <c r="I261" s="2">
        <v>1</v>
      </c>
      <c r="J261" s="3">
        <v>16.989999999999998</v>
      </c>
      <c r="K261" t="s">
        <v>13</v>
      </c>
      <c r="L261" s="3">
        <f t="shared" si="12"/>
        <v>1.2135714285714285</v>
      </c>
      <c r="M261" t="str">
        <f t="shared" si="13"/>
        <v>Friday</v>
      </c>
      <c r="N261" t="str">
        <f t="shared" si="14"/>
        <v>Low</v>
      </c>
    </row>
    <row r="262" spans="1:14" x14ac:dyDescent="0.35">
      <c r="A262">
        <v>1487894203</v>
      </c>
      <c r="B262" s="1">
        <v>42789</v>
      </c>
      <c r="C262" t="s">
        <v>40</v>
      </c>
      <c r="D262" t="s">
        <v>47</v>
      </c>
      <c r="E262" t="s">
        <v>89</v>
      </c>
      <c r="F262" t="s">
        <v>12</v>
      </c>
      <c r="G262" t="s">
        <v>90</v>
      </c>
      <c r="H262" s="2">
        <v>16</v>
      </c>
      <c r="I262" s="2">
        <v>1</v>
      </c>
      <c r="J262" s="3">
        <v>16.989999999999998</v>
      </c>
      <c r="K262" t="s">
        <v>13</v>
      </c>
      <c r="L262" s="3">
        <f t="shared" si="12"/>
        <v>1.0618749999999999</v>
      </c>
      <c r="M262" t="str">
        <f t="shared" si="13"/>
        <v>Thursday</v>
      </c>
      <c r="N262" t="str">
        <f t="shared" si="14"/>
        <v>Low</v>
      </c>
    </row>
    <row r="263" spans="1:14" x14ac:dyDescent="0.35">
      <c r="A263">
        <v>1476487552</v>
      </c>
      <c r="B263" s="1">
        <v>42657</v>
      </c>
      <c r="C263" t="s">
        <v>11</v>
      </c>
      <c r="D263" t="s">
        <v>87</v>
      </c>
      <c r="E263" t="s">
        <v>89</v>
      </c>
      <c r="F263" t="s">
        <v>16</v>
      </c>
      <c r="G263" t="s">
        <v>91</v>
      </c>
      <c r="H263" s="2">
        <v>23</v>
      </c>
      <c r="I263" s="2">
        <v>1</v>
      </c>
      <c r="J263" s="3">
        <v>16.989999999999998</v>
      </c>
      <c r="K263" t="s">
        <v>13</v>
      </c>
      <c r="L263" s="3">
        <f t="shared" si="12"/>
        <v>0.73869565217391298</v>
      </c>
      <c r="M263" t="str">
        <f t="shared" si="13"/>
        <v>Friday</v>
      </c>
      <c r="N263" t="str">
        <f t="shared" si="14"/>
        <v>Low</v>
      </c>
    </row>
    <row r="264" spans="1:14" x14ac:dyDescent="0.35">
      <c r="A264">
        <v>1486067833</v>
      </c>
      <c r="B264" s="1">
        <v>42768</v>
      </c>
      <c r="C264" t="s">
        <v>11</v>
      </c>
      <c r="D264" t="s">
        <v>87</v>
      </c>
      <c r="E264" t="s">
        <v>89</v>
      </c>
      <c r="F264" t="s">
        <v>16</v>
      </c>
      <c r="G264" t="s">
        <v>91</v>
      </c>
      <c r="H264" s="2">
        <v>18</v>
      </c>
      <c r="I264" s="2">
        <v>1</v>
      </c>
      <c r="J264" s="3">
        <v>16.989999999999998</v>
      </c>
      <c r="K264" t="s">
        <v>13</v>
      </c>
      <c r="L264" s="3">
        <f t="shared" si="12"/>
        <v>0.94388888888888878</v>
      </c>
      <c r="M264" t="str">
        <f t="shared" si="13"/>
        <v>Thursday</v>
      </c>
      <c r="N264" t="str">
        <f t="shared" si="14"/>
        <v>Low</v>
      </c>
    </row>
    <row r="265" spans="1:14" x14ac:dyDescent="0.35">
      <c r="A265">
        <v>1495140704</v>
      </c>
      <c r="B265" s="1">
        <v>42873</v>
      </c>
      <c r="C265" t="s">
        <v>11</v>
      </c>
      <c r="D265" t="s">
        <v>28</v>
      </c>
      <c r="E265" t="s">
        <v>89</v>
      </c>
      <c r="F265" t="s">
        <v>16</v>
      </c>
      <c r="G265" t="s">
        <v>90</v>
      </c>
      <c r="H265" s="2">
        <v>16</v>
      </c>
      <c r="I265" s="2">
        <v>1</v>
      </c>
      <c r="J265" s="3">
        <v>16.989999999999998</v>
      </c>
      <c r="K265" t="s">
        <v>13</v>
      </c>
      <c r="L265" s="3">
        <f t="shared" si="12"/>
        <v>1.0618749999999999</v>
      </c>
      <c r="M265" t="str">
        <f t="shared" si="13"/>
        <v>Thursday</v>
      </c>
      <c r="N265" t="str">
        <f t="shared" si="14"/>
        <v>Low</v>
      </c>
    </row>
    <row r="266" spans="1:14" x14ac:dyDescent="0.35">
      <c r="A266">
        <v>1477514653</v>
      </c>
      <c r="B266" s="1">
        <v>42669</v>
      </c>
      <c r="C266" t="s">
        <v>11</v>
      </c>
      <c r="D266" t="s">
        <v>87</v>
      </c>
      <c r="E266" t="s">
        <v>89</v>
      </c>
      <c r="F266" t="s">
        <v>12</v>
      </c>
      <c r="G266" t="s">
        <v>91</v>
      </c>
      <c r="H266" s="2">
        <v>24</v>
      </c>
      <c r="I266" s="2">
        <v>1</v>
      </c>
      <c r="J266" s="3">
        <v>16.989999999999998</v>
      </c>
      <c r="K266" t="s">
        <v>13</v>
      </c>
      <c r="L266" s="3">
        <f t="shared" si="12"/>
        <v>0.70791666666666664</v>
      </c>
      <c r="M266" t="str">
        <f t="shared" si="13"/>
        <v>Wednesday</v>
      </c>
      <c r="N266" t="str">
        <f t="shared" si="14"/>
        <v>Low</v>
      </c>
    </row>
    <row r="267" spans="1:14" x14ac:dyDescent="0.35">
      <c r="A267">
        <v>1477665382</v>
      </c>
      <c r="B267" s="1">
        <v>42671</v>
      </c>
      <c r="C267" t="s">
        <v>50</v>
      </c>
      <c r="D267" t="s">
        <v>51</v>
      </c>
      <c r="E267" t="s">
        <v>89</v>
      </c>
      <c r="F267" t="s">
        <v>16</v>
      </c>
      <c r="G267" t="s">
        <v>91</v>
      </c>
      <c r="H267" s="2">
        <v>15</v>
      </c>
      <c r="I267" s="2">
        <v>1</v>
      </c>
      <c r="J267" s="3">
        <v>16.989999999999998</v>
      </c>
      <c r="K267" t="s">
        <v>13</v>
      </c>
      <c r="L267" s="3">
        <f t="shared" si="12"/>
        <v>1.1326666666666665</v>
      </c>
      <c r="M267" t="str">
        <f t="shared" si="13"/>
        <v>Friday</v>
      </c>
      <c r="N267" t="str">
        <f t="shared" si="14"/>
        <v>Low</v>
      </c>
    </row>
    <row r="268" spans="1:14" x14ac:dyDescent="0.35">
      <c r="A268">
        <v>1474396370</v>
      </c>
      <c r="B268" s="1">
        <v>42633</v>
      </c>
      <c r="C268" t="s">
        <v>11</v>
      </c>
      <c r="D268" t="s">
        <v>37</v>
      </c>
      <c r="E268" t="s">
        <v>89</v>
      </c>
      <c r="F268" t="s">
        <v>12</v>
      </c>
      <c r="G268" t="s">
        <v>90</v>
      </c>
      <c r="H268" s="2">
        <v>13</v>
      </c>
      <c r="I268" s="2">
        <v>1</v>
      </c>
      <c r="J268" s="3">
        <v>16.989999999999998</v>
      </c>
      <c r="K268" t="s">
        <v>13</v>
      </c>
      <c r="L268" s="3">
        <f t="shared" si="12"/>
        <v>1.3069230769230769</v>
      </c>
      <c r="M268" t="str">
        <f t="shared" si="13"/>
        <v>Tuesday</v>
      </c>
      <c r="N268" t="str">
        <f t="shared" si="14"/>
        <v>Low</v>
      </c>
    </row>
    <row r="269" spans="1:14" x14ac:dyDescent="0.35">
      <c r="A269">
        <v>1480680916</v>
      </c>
      <c r="B269" s="1">
        <v>42706</v>
      </c>
      <c r="C269" t="s">
        <v>11</v>
      </c>
      <c r="D269" t="s">
        <v>87</v>
      </c>
      <c r="E269" t="s">
        <v>89</v>
      </c>
      <c r="F269" t="s">
        <v>16</v>
      </c>
      <c r="G269" t="s">
        <v>91</v>
      </c>
      <c r="H269" s="2">
        <v>13</v>
      </c>
      <c r="I269" s="2">
        <v>1</v>
      </c>
      <c r="J269" s="3">
        <v>16.989999999999998</v>
      </c>
      <c r="K269" t="s">
        <v>13</v>
      </c>
      <c r="L269" s="3">
        <f t="shared" si="12"/>
        <v>1.3069230769230769</v>
      </c>
      <c r="M269" t="str">
        <f t="shared" si="13"/>
        <v>Friday</v>
      </c>
      <c r="N269" t="str">
        <f t="shared" si="14"/>
        <v>Low</v>
      </c>
    </row>
    <row r="270" spans="1:14" x14ac:dyDescent="0.35">
      <c r="A270">
        <v>1478289808</v>
      </c>
      <c r="B270" s="1">
        <v>42678</v>
      </c>
      <c r="C270" t="s">
        <v>11</v>
      </c>
      <c r="D270" t="s">
        <v>87</v>
      </c>
      <c r="E270" t="s">
        <v>89</v>
      </c>
      <c r="F270" t="s">
        <v>12</v>
      </c>
      <c r="G270" t="s">
        <v>91</v>
      </c>
      <c r="H270" s="2">
        <v>13</v>
      </c>
      <c r="I270" s="2">
        <v>1</v>
      </c>
      <c r="J270" s="3">
        <v>16.989999999999998</v>
      </c>
      <c r="K270" t="s">
        <v>13</v>
      </c>
      <c r="L270" s="3">
        <f t="shared" si="12"/>
        <v>1.3069230769230769</v>
      </c>
      <c r="M270" t="str">
        <f t="shared" si="13"/>
        <v>Friday</v>
      </c>
      <c r="N270" t="str">
        <f t="shared" si="14"/>
        <v>Low</v>
      </c>
    </row>
    <row r="271" spans="1:14" x14ac:dyDescent="0.35">
      <c r="A271">
        <v>1500064472</v>
      </c>
      <c r="B271" s="1">
        <v>42930</v>
      </c>
      <c r="C271" t="s">
        <v>11</v>
      </c>
      <c r="D271" t="s">
        <v>87</v>
      </c>
      <c r="E271" t="s">
        <v>89</v>
      </c>
      <c r="F271" t="s">
        <v>16</v>
      </c>
      <c r="G271" t="s">
        <v>90</v>
      </c>
      <c r="H271" s="2">
        <v>37</v>
      </c>
      <c r="I271" s="2">
        <v>1</v>
      </c>
      <c r="J271" s="3">
        <v>16.989999999999998</v>
      </c>
      <c r="K271" t="s">
        <v>13</v>
      </c>
      <c r="L271" s="3">
        <f t="shared" si="12"/>
        <v>0.45918918918918916</v>
      </c>
      <c r="M271" t="str">
        <f t="shared" si="13"/>
        <v>Friday</v>
      </c>
      <c r="N271" t="str">
        <f t="shared" si="14"/>
        <v>Low</v>
      </c>
    </row>
    <row r="272" spans="1:14" x14ac:dyDescent="0.35">
      <c r="A272">
        <v>1477066394</v>
      </c>
      <c r="B272" s="1">
        <v>42664</v>
      </c>
      <c r="C272" t="s">
        <v>11</v>
      </c>
      <c r="D272" t="s">
        <v>34</v>
      </c>
      <c r="E272" t="s">
        <v>89</v>
      </c>
      <c r="F272" t="s">
        <v>12</v>
      </c>
      <c r="G272" t="s">
        <v>91</v>
      </c>
      <c r="H272" s="2">
        <v>24</v>
      </c>
      <c r="I272" s="2">
        <v>1</v>
      </c>
      <c r="J272" s="3">
        <v>16.989999999999998</v>
      </c>
      <c r="K272" t="s">
        <v>13</v>
      </c>
      <c r="L272" s="3">
        <f t="shared" si="12"/>
        <v>0.70791666666666664</v>
      </c>
      <c r="M272" t="str">
        <f t="shared" si="13"/>
        <v>Friday</v>
      </c>
      <c r="N272" t="str">
        <f t="shared" si="14"/>
        <v>Low</v>
      </c>
    </row>
    <row r="273" spans="1:14" x14ac:dyDescent="0.35">
      <c r="A273">
        <v>1486084199</v>
      </c>
      <c r="B273" s="1">
        <v>42768</v>
      </c>
      <c r="C273" t="s">
        <v>11</v>
      </c>
      <c r="D273" t="s">
        <v>87</v>
      </c>
      <c r="E273" t="s">
        <v>89</v>
      </c>
      <c r="F273" t="s">
        <v>16</v>
      </c>
      <c r="G273" t="s">
        <v>91</v>
      </c>
      <c r="H273" s="2">
        <v>28</v>
      </c>
      <c r="I273" s="2">
        <v>1</v>
      </c>
      <c r="J273" s="3">
        <v>16.989999999999998</v>
      </c>
      <c r="K273" t="s">
        <v>13</v>
      </c>
      <c r="L273" s="3">
        <f t="shared" si="12"/>
        <v>0.60678571428571426</v>
      </c>
      <c r="M273" t="str">
        <f t="shared" si="13"/>
        <v>Thursday</v>
      </c>
      <c r="N273" t="str">
        <f t="shared" si="14"/>
        <v>Low</v>
      </c>
    </row>
    <row r="274" spans="1:14" x14ac:dyDescent="0.35">
      <c r="A274">
        <v>1475478885</v>
      </c>
      <c r="B274" s="1">
        <v>42646</v>
      </c>
      <c r="C274" t="s">
        <v>11</v>
      </c>
      <c r="D274" t="s">
        <v>44</v>
      </c>
      <c r="E274" t="s">
        <v>89</v>
      </c>
      <c r="F274" t="s">
        <v>16</v>
      </c>
      <c r="G274" t="s">
        <v>91</v>
      </c>
      <c r="H274" s="2">
        <v>13</v>
      </c>
      <c r="I274" s="2">
        <v>1</v>
      </c>
      <c r="J274" s="3">
        <v>16.989999999999998</v>
      </c>
      <c r="K274" t="s">
        <v>13</v>
      </c>
      <c r="L274" s="3">
        <f t="shared" si="12"/>
        <v>1.3069230769230769</v>
      </c>
      <c r="M274" t="str">
        <f t="shared" si="13"/>
        <v>Monday</v>
      </c>
      <c r="N274" t="str">
        <f t="shared" si="14"/>
        <v>Low</v>
      </c>
    </row>
    <row r="275" spans="1:14" x14ac:dyDescent="0.35">
      <c r="A275">
        <v>1496776806</v>
      </c>
      <c r="B275" s="1">
        <v>42892</v>
      </c>
      <c r="C275" t="s">
        <v>11</v>
      </c>
      <c r="D275" t="s">
        <v>27</v>
      </c>
      <c r="E275" t="s">
        <v>89</v>
      </c>
      <c r="F275" t="s">
        <v>26</v>
      </c>
      <c r="G275" t="s">
        <v>91</v>
      </c>
      <c r="H275" s="2">
        <v>19</v>
      </c>
      <c r="I275" s="2">
        <v>1</v>
      </c>
      <c r="J275" s="3">
        <v>16.989999999999998</v>
      </c>
      <c r="K275" t="s">
        <v>13</v>
      </c>
      <c r="L275" s="3">
        <f t="shared" si="12"/>
        <v>0.89421052631578934</v>
      </c>
      <c r="M275" t="str">
        <f t="shared" si="13"/>
        <v>Tuesday</v>
      </c>
      <c r="N275" t="str">
        <f t="shared" si="14"/>
        <v>Low</v>
      </c>
    </row>
    <row r="276" spans="1:14" x14ac:dyDescent="0.35">
      <c r="A276">
        <v>1482097342</v>
      </c>
      <c r="B276" s="1">
        <v>42722</v>
      </c>
      <c r="C276" t="s">
        <v>11</v>
      </c>
      <c r="D276" t="s">
        <v>87</v>
      </c>
      <c r="E276" t="s">
        <v>89</v>
      </c>
      <c r="F276" t="s">
        <v>12</v>
      </c>
      <c r="G276" t="s">
        <v>91</v>
      </c>
      <c r="H276" s="2">
        <v>12</v>
      </c>
      <c r="I276" s="2">
        <v>1</v>
      </c>
      <c r="J276" s="3">
        <v>16.989999999999998</v>
      </c>
      <c r="K276" t="s">
        <v>13</v>
      </c>
      <c r="L276" s="3">
        <f t="shared" si="12"/>
        <v>1.4158333333333333</v>
      </c>
      <c r="M276" t="str">
        <f t="shared" si="13"/>
        <v>Sunday</v>
      </c>
      <c r="N276" t="str">
        <f t="shared" si="14"/>
        <v>Low</v>
      </c>
    </row>
    <row r="277" spans="1:14" x14ac:dyDescent="0.35">
      <c r="A277">
        <v>1480571467</v>
      </c>
      <c r="B277" s="1">
        <v>42704</v>
      </c>
      <c r="C277" t="s">
        <v>11</v>
      </c>
      <c r="D277" t="s">
        <v>52</v>
      </c>
      <c r="E277" t="s">
        <v>89</v>
      </c>
      <c r="F277" t="s">
        <v>16</v>
      </c>
      <c r="G277" t="s">
        <v>91</v>
      </c>
      <c r="H277" s="2">
        <v>12</v>
      </c>
      <c r="I277" s="2">
        <v>1</v>
      </c>
      <c r="J277" s="3">
        <v>16.989999999999998</v>
      </c>
      <c r="K277" t="s">
        <v>13</v>
      </c>
      <c r="L277" s="3">
        <f t="shared" si="12"/>
        <v>1.4158333333333333</v>
      </c>
      <c r="M277" t="str">
        <f t="shared" si="13"/>
        <v>Wednesday</v>
      </c>
      <c r="N277" t="str">
        <f t="shared" si="14"/>
        <v>Low</v>
      </c>
    </row>
    <row r="278" spans="1:14" x14ac:dyDescent="0.35">
      <c r="A278">
        <v>1491691756</v>
      </c>
      <c r="B278" s="1">
        <v>42833</v>
      </c>
      <c r="C278" t="s">
        <v>11</v>
      </c>
      <c r="D278" t="s">
        <v>17</v>
      </c>
      <c r="E278" t="s">
        <v>89</v>
      </c>
      <c r="F278" t="s">
        <v>12</v>
      </c>
      <c r="G278" t="s">
        <v>90</v>
      </c>
      <c r="H278" s="2">
        <v>19</v>
      </c>
      <c r="I278" s="2">
        <v>1</v>
      </c>
      <c r="J278" s="3">
        <v>16.989999999999998</v>
      </c>
      <c r="K278" t="s">
        <v>13</v>
      </c>
      <c r="L278" s="3">
        <f t="shared" si="12"/>
        <v>0.89421052631578934</v>
      </c>
      <c r="M278" t="str">
        <f t="shared" si="13"/>
        <v>Saturday</v>
      </c>
      <c r="N278" t="str">
        <f t="shared" si="14"/>
        <v>Low</v>
      </c>
    </row>
    <row r="279" spans="1:14" x14ac:dyDescent="0.35">
      <c r="A279">
        <v>1500657438</v>
      </c>
      <c r="B279" s="1">
        <v>42937</v>
      </c>
      <c r="C279" t="s">
        <v>11</v>
      </c>
      <c r="D279" t="s">
        <v>87</v>
      </c>
      <c r="E279" t="s">
        <v>89</v>
      </c>
      <c r="F279" t="s">
        <v>16</v>
      </c>
      <c r="G279" t="s">
        <v>90</v>
      </c>
      <c r="H279" s="2">
        <v>17</v>
      </c>
      <c r="I279" s="2">
        <v>1</v>
      </c>
      <c r="J279" s="3">
        <v>16.989999999999998</v>
      </c>
      <c r="K279" t="s">
        <v>13</v>
      </c>
      <c r="L279" s="3">
        <f t="shared" si="12"/>
        <v>0.99941176470588222</v>
      </c>
      <c r="M279" t="str">
        <f t="shared" si="13"/>
        <v>Friday</v>
      </c>
      <c r="N279" t="str">
        <f t="shared" si="14"/>
        <v>Low</v>
      </c>
    </row>
    <row r="280" spans="1:14" x14ac:dyDescent="0.35">
      <c r="A280">
        <v>1492636729</v>
      </c>
      <c r="B280" s="1">
        <v>42844</v>
      </c>
      <c r="C280" t="s">
        <v>11</v>
      </c>
      <c r="D280" t="s">
        <v>87</v>
      </c>
      <c r="E280" t="s">
        <v>89</v>
      </c>
      <c r="F280" t="s">
        <v>12</v>
      </c>
      <c r="G280" t="s">
        <v>90</v>
      </c>
      <c r="H280" s="2">
        <v>29</v>
      </c>
      <c r="I280" s="2">
        <v>1</v>
      </c>
      <c r="J280" s="3">
        <v>17.489999999999998</v>
      </c>
      <c r="K280" t="s">
        <v>13</v>
      </c>
      <c r="L280" s="3">
        <f t="shared" si="12"/>
        <v>0.60310344827586204</v>
      </c>
      <c r="M280" t="str">
        <f t="shared" si="13"/>
        <v>Wednesday</v>
      </c>
      <c r="N280" t="str">
        <f t="shared" si="14"/>
        <v>Low</v>
      </c>
    </row>
    <row r="281" spans="1:14" x14ac:dyDescent="0.35">
      <c r="A281">
        <v>1475887712</v>
      </c>
      <c r="B281" s="1">
        <v>42650</v>
      </c>
      <c r="C281" t="s">
        <v>11</v>
      </c>
      <c r="D281" t="s">
        <v>87</v>
      </c>
      <c r="E281" t="s">
        <v>89</v>
      </c>
      <c r="F281" t="s">
        <v>12</v>
      </c>
      <c r="G281" t="s">
        <v>90</v>
      </c>
      <c r="H281" s="2">
        <v>19</v>
      </c>
      <c r="I281" s="2">
        <v>1</v>
      </c>
      <c r="J281" s="3">
        <v>17.59</v>
      </c>
      <c r="K281" t="s">
        <v>13</v>
      </c>
      <c r="L281" s="3">
        <f t="shared" si="12"/>
        <v>0.9257894736842105</v>
      </c>
      <c r="M281" t="str">
        <f t="shared" si="13"/>
        <v>Friday</v>
      </c>
      <c r="N281" t="str">
        <f t="shared" si="14"/>
        <v>Low</v>
      </c>
    </row>
    <row r="282" spans="1:14" x14ac:dyDescent="0.35">
      <c r="A282">
        <v>1484518851</v>
      </c>
      <c r="B282" s="1">
        <v>42750</v>
      </c>
      <c r="C282" t="s">
        <v>11</v>
      </c>
      <c r="D282" t="s">
        <v>87</v>
      </c>
      <c r="E282" t="s">
        <v>89</v>
      </c>
      <c r="F282" t="s">
        <v>16</v>
      </c>
      <c r="G282" t="s">
        <v>91</v>
      </c>
      <c r="H282" s="2">
        <v>16</v>
      </c>
      <c r="I282" s="2">
        <v>1</v>
      </c>
      <c r="J282" s="3">
        <v>17.940000000000001</v>
      </c>
      <c r="K282" t="s">
        <v>13</v>
      </c>
      <c r="L282" s="3">
        <f t="shared" si="12"/>
        <v>1.1212500000000001</v>
      </c>
      <c r="M282" t="str">
        <f t="shared" si="13"/>
        <v>Sunday</v>
      </c>
      <c r="N282" t="str">
        <f t="shared" si="14"/>
        <v>Low</v>
      </c>
    </row>
    <row r="283" spans="1:14" x14ac:dyDescent="0.35">
      <c r="A283">
        <v>1487694703</v>
      </c>
      <c r="B283" s="1">
        <v>42787</v>
      </c>
      <c r="C283" t="s">
        <v>11</v>
      </c>
      <c r="D283" t="s">
        <v>14</v>
      </c>
      <c r="E283" t="s">
        <v>89</v>
      </c>
      <c r="F283" t="s">
        <v>16</v>
      </c>
      <c r="G283" t="s">
        <v>91</v>
      </c>
      <c r="H283" s="2">
        <v>12</v>
      </c>
      <c r="I283" s="2">
        <v>1</v>
      </c>
      <c r="J283" s="3">
        <v>17.98</v>
      </c>
      <c r="K283" t="s">
        <v>13</v>
      </c>
      <c r="L283" s="3">
        <f t="shared" si="12"/>
        <v>1.4983333333333333</v>
      </c>
      <c r="M283" t="str">
        <f t="shared" si="13"/>
        <v>Tuesday</v>
      </c>
      <c r="N283" t="str">
        <f t="shared" si="14"/>
        <v>Low</v>
      </c>
    </row>
    <row r="284" spans="1:14" x14ac:dyDescent="0.35">
      <c r="A284">
        <v>1497483714</v>
      </c>
      <c r="B284" s="1">
        <v>42900</v>
      </c>
      <c r="C284" t="s">
        <v>40</v>
      </c>
      <c r="D284" t="s">
        <v>53</v>
      </c>
      <c r="E284" t="s">
        <v>89</v>
      </c>
      <c r="F284" t="s">
        <v>12</v>
      </c>
      <c r="G284" t="s">
        <v>91</v>
      </c>
      <c r="H284" s="2">
        <v>12</v>
      </c>
      <c r="I284" s="2">
        <v>1</v>
      </c>
      <c r="J284" s="3">
        <v>17.98</v>
      </c>
      <c r="K284" t="s">
        <v>13</v>
      </c>
      <c r="L284" s="3">
        <f t="shared" si="12"/>
        <v>1.4983333333333333</v>
      </c>
      <c r="M284" t="str">
        <f t="shared" si="13"/>
        <v>Wednesday</v>
      </c>
      <c r="N284" t="str">
        <f t="shared" si="14"/>
        <v>Low</v>
      </c>
    </row>
    <row r="285" spans="1:14" x14ac:dyDescent="0.35">
      <c r="A285">
        <v>1474822870</v>
      </c>
      <c r="B285" s="1">
        <v>42638</v>
      </c>
      <c r="C285" t="s">
        <v>11</v>
      </c>
      <c r="D285" t="s">
        <v>25</v>
      </c>
      <c r="E285" t="s">
        <v>89</v>
      </c>
      <c r="F285" t="s">
        <v>12</v>
      </c>
      <c r="G285" t="s">
        <v>91</v>
      </c>
      <c r="H285" s="2">
        <v>23</v>
      </c>
      <c r="I285" s="2">
        <v>1</v>
      </c>
      <c r="J285" s="3">
        <v>17.98</v>
      </c>
      <c r="K285" t="s">
        <v>13</v>
      </c>
      <c r="L285" s="3">
        <f t="shared" si="12"/>
        <v>0.7817391304347826</v>
      </c>
      <c r="M285" t="str">
        <f t="shared" si="13"/>
        <v>Sunday</v>
      </c>
      <c r="N285" t="str">
        <f t="shared" si="14"/>
        <v>Low</v>
      </c>
    </row>
    <row r="286" spans="1:14" x14ac:dyDescent="0.35">
      <c r="A286">
        <v>1474779624</v>
      </c>
      <c r="B286" s="1">
        <v>42637</v>
      </c>
      <c r="C286" t="s">
        <v>11</v>
      </c>
      <c r="D286" t="s">
        <v>87</v>
      </c>
      <c r="E286" t="s">
        <v>89</v>
      </c>
      <c r="F286" t="s">
        <v>12</v>
      </c>
      <c r="G286" t="s">
        <v>91</v>
      </c>
      <c r="H286" s="2">
        <v>46</v>
      </c>
      <c r="I286" s="2">
        <v>1</v>
      </c>
      <c r="J286" s="3">
        <v>17.98</v>
      </c>
      <c r="K286" t="s">
        <v>13</v>
      </c>
      <c r="L286" s="3">
        <f t="shared" si="12"/>
        <v>0.3908695652173913</v>
      </c>
      <c r="M286" t="str">
        <f t="shared" si="13"/>
        <v>Saturday</v>
      </c>
      <c r="N286" t="str">
        <f t="shared" si="14"/>
        <v>Low</v>
      </c>
    </row>
    <row r="287" spans="1:14" x14ac:dyDescent="0.35">
      <c r="A287">
        <v>1490891216</v>
      </c>
      <c r="B287" s="1">
        <v>42824</v>
      </c>
      <c r="C287" t="s">
        <v>11</v>
      </c>
      <c r="D287" t="s">
        <v>23</v>
      </c>
      <c r="E287" t="s">
        <v>89</v>
      </c>
      <c r="F287" t="s">
        <v>16</v>
      </c>
      <c r="G287" t="s">
        <v>90</v>
      </c>
      <c r="H287" s="2">
        <v>15</v>
      </c>
      <c r="I287" s="2">
        <v>1</v>
      </c>
      <c r="J287" s="3">
        <v>17.98</v>
      </c>
      <c r="K287" t="s">
        <v>13</v>
      </c>
      <c r="L287" s="3">
        <f t="shared" si="12"/>
        <v>1.1986666666666668</v>
      </c>
      <c r="M287" t="str">
        <f t="shared" si="13"/>
        <v>Thursday</v>
      </c>
      <c r="N287" t="str">
        <f t="shared" si="14"/>
        <v>Low</v>
      </c>
    </row>
    <row r="288" spans="1:14" x14ac:dyDescent="0.35">
      <c r="A288">
        <v>1471826978</v>
      </c>
      <c r="B288" s="1">
        <v>42603</v>
      </c>
      <c r="C288" t="s">
        <v>11</v>
      </c>
      <c r="D288" t="s">
        <v>34</v>
      </c>
      <c r="E288" t="s">
        <v>89</v>
      </c>
      <c r="F288" t="s">
        <v>12</v>
      </c>
      <c r="G288" t="s">
        <v>90</v>
      </c>
      <c r="H288" s="2">
        <v>11</v>
      </c>
      <c r="I288" s="2">
        <v>1</v>
      </c>
      <c r="J288" s="3">
        <v>18.260000000000002</v>
      </c>
      <c r="K288" t="s">
        <v>13</v>
      </c>
      <c r="L288" s="3">
        <f t="shared" si="12"/>
        <v>1.6600000000000001</v>
      </c>
      <c r="M288" t="str">
        <f t="shared" si="13"/>
        <v>Sunday</v>
      </c>
      <c r="N288" t="str">
        <f t="shared" si="14"/>
        <v>Low</v>
      </c>
    </row>
    <row r="289" spans="1:14" x14ac:dyDescent="0.35">
      <c r="A289">
        <v>1496416314</v>
      </c>
      <c r="B289" s="1">
        <v>42888</v>
      </c>
      <c r="C289" t="s">
        <v>11</v>
      </c>
      <c r="D289" t="s">
        <v>25</v>
      </c>
      <c r="E289" t="s">
        <v>89</v>
      </c>
      <c r="F289" t="s">
        <v>12</v>
      </c>
      <c r="G289" t="s">
        <v>90</v>
      </c>
      <c r="H289" s="2">
        <v>37</v>
      </c>
      <c r="I289" s="2">
        <v>1</v>
      </c>
      <c r="J289" s="3">
        <v>18.27</v>
      </c>
      <c r="K289" t="s">
        <v>13</v>
      </c>
      <c r="L289" s="3">
        <f t="shared" si="12"/>
        <v>0.49378378378378379</v>
      </c>
      <c r="M289" t="str">
        <f t="shared" si="13"/>
        <v>Friday</v>
      </c>
      <c r="N289" t="str">
        <f t="shared" si="14"/>
        <v>Low</v>
      </c>
    </row>
    <row r="290" spans="1:14" x14ac:dyDescent="0.35">
      <c r="A290">
        <v>1482634297</v>
      </c>
      <c r="B290" s="1">
        <v>42728</v>
      </c>
      <c r="C290" t="s">
        <v>11</v>
      </c>
      <c r="D290" t="s">
        <v>87</v>
      </c>
      <c r="E290" t="s">
        <v>89</v>
      </c>
      <c r="F290" t="s">
        <v>12</v>
      </c>
      <c r="G290" t="s">
        <v>90</v>
      </c>
      <c r="H290" s="2">
        <v>80</v>
      </c>
      <c r="I290" s="2">
        <v>1</v>
      </c>
      <c r="J290" s="3">
        <v>18.45</v>
      </c>
      <c r="K290" t="s">
        <v>13</v>
      </c>
      <c r="L290" s="3">
        <f t="shared" si="12"/>
        <v>0.230625</v>
      </c>
      <c r="M290" t="str">
        <f t="shared" si="13"/>
        <v>Saturday</v>
      </c>
      <c r="N290" t="str">
        <f t="shared" si="14"/>
        <v>Low</v>
      </c>
    </row>
    <row r="291" spans="1:14" x14ac:dyDescent="0.35">
      <c r="A291">
        <v>1483073380</v>
      </c>
      <c r="B291" s="1">
        <v>42733</v>
      </c>
      <c r="C291" t="s">
        <v>11</v>
      </c>
      <c r="D291" t="s">
        <v>87</v>
      </c>
      <c r="E291" t="s">
        <v>89</v>
      </c>
      <c r="F291" t="s">
        <v>12</v>
      </c>
      <c r="G291" t="s">
        <v>91</v>
      </c>
      <c r="H291" s="2">
        <v>32</v>
      </c>
      <c r="I291" s="2">
        <v>1</v>
      </c>
      <c r="J291" s="3">
        <v>18.46</v>
      </c>
      <c r="K291" t="s">
        <v>13</v>
      </c>
      <c r="L291" s="3">
        <f t="shared" si="12"/>
        <v>0.57687500000000003</v>
      </c>
      <c r="M291" t="str">
        <f t="shared" si="13"/>
        <v>Thursday</v>
      </c>
      <c r="N291" t="str">
        <f t="shared" si="14"/>
        <v>Low</v>
      </c>
    </row>
    <row r="292" spans="1:14" x14ac:dyDescent="0.35">
      <c r="A292">
        <v>1490637090</v>
      </c>
      <c r="B292" s="1">
        <v>42821</v>
      </c>
      <c r="C292" t="s">
        <v>11</v>
      </c>
      <c r="D292" t="s">
        <v>87</v>
      </c>
      <c r="E292" t="s">
        <v>89</v>
      </c>
      <c r="F292" t="s">
        <v>12</v>
      </c>
      <c r="G292" t="s">
        <v>90</v>
      </c>
      <c r="H292" s="2">
        <v>23</v>
      </c>
      <c r="I292" s="2">
        <v>1</v>
      </c>
      <c r="J292" s="3">
        <v>18.48</v>
      </c>
      <c r="K292" t="s">
        <v>13</v>
      </c>
      <c r="L292" s="3">
        <f t="shared" si="12"/>
        <v>0.8034782608695652</v>
      </c>
      <c r="M292" t="str">
        <f t="shared" si="13"/>
        <v>Monday</v>
      </c>
      <c r="N292" t="str">
        <f t="shared" si="14"/>
        <v>Low</v>
      </c>
    </row>
    <row r="293" spans="1:14" x14ac:dyDescent="0.35">
      <c r="A293">
        <v>1487820073</v>
      </c>
      <c r="B293" s="1">
        <v>42788</v>
      </c>
      <c r="C293" t="s">
        <v>11</v>
      </c>
      <c r="D293" t="s">
        <v>87</v>
      </c>
      <c r="E293" t="s">
        <v>89</v>
      </c>
      <c r="F293" t="s">
        <v>12</v>
      </c>
      <c r="G293" t="s">
        <v>90</v>
      </c>
      <c r="H293" s="2">
        <v>42</v>
      </c>
      <c r="I293" s="2">
        <v>1</v>
      </c>
      <c r="J293" s="3">
        <v>18.48</v>
      </c>
      <c r="K293" t="s">
        <v>13</v>
      </c>
      <c r="L293" s="3">
        <f t="shared" si="12"/>
        <v>0.44</v>
      </c>
      <c r="M293" t="str">
        <f t="shared" si="13"/>
        <v>Wednesday</v>
      </c>
      <c r="N293" t="str">
        <f t="shared" si="14"/>
        <v>Low</v>
      </c>
    </row>
    <row r="294" spans="1:14" x14ac:dyDescent="0.35">
      <c r="A294">
        <v>1500052337</v>
      </c>
      <c r="B294" s="1">
        <v>42930</v>
      </c>
      <c r="C294" t="s">
        <v>11</v>
      </c>
      <c r="D294" t="s">
        <v>15</v>
      </c>
      <c r="E294" t="s">
        <v>89</v>
      </c>
      <c r="F294" t="s">
        <v>12</v>
      </c>
      <c r="G294" t="s">
        <v>91</v>
      </c>
      <c r="H294" s="2">
        <v>14</v>
      </c>
      <c r="I294" s="2">
        <v>1</v>
      </c>
      <c r="J294" s="3">
        <v>18.48</v>
      </c>
      <c r="K294" t="s">
        <v>13</v>
      </c>
      <c r="L294" s="3">
        <f t="shared" si="12"/>
        <v>1.32</v>
      </c>
      <c r="M294" t="str">
        <f t="shared" si="13"/>
        <v>Friday</v>
      </c>
      <c r="N294" t="str">
        <f t="shared" si="14"/>
        <v>Low</v>
      </c>
    </row>
    <row r="295" spans="1:14" x14ac:dyDescent="0.35">
      <c r="A295">
        <v>1487570448</v>
      </c>
      <c r="B295" s="1">
        <v>42785</v>
      </c>
      <c r="C295" t="s">
        <v>40</v>
      </c>
      <c r="D295" t="s">
        <v>87</v>
      </c>
      <c r="E295" t="s">
        <v>89</v>
      </c>
      <c r="F295" t="s">
        <v>12</v>
      </c>
      <c r="G295" t="s">
        <v>90</v>
      </c>
      <c r="H295" s="2">
        <v>28</v>
      </c>
      <c r="I295" s="2">
        <v>1</v>
      </c>
      <c r="J295" s="3">
        <v>18.97</v>
      </c>
      <c r="K295" t="s">
        <v>13</v>
      </c>
      <c r="L295" s="3">
        <f t="shared" si="12"/>
        <v>0.67749999999999999</v>
      </c>
      <c r="M295" t="str">
        <f t="shared" si="13"/>
        <v>Sunday</v>
      </c>
      <c r="N295" t="str">
        <f t="shared" si="14"/>
        <v>Low</v>
      </c>
    </row>
    <row r="296" spans="1:14" x14ac:dyDescent="0.35">
      <c r="A296">
        <v>1483657525</v>
      </c>
      <c r="B296" s="1">
        <v>42740</v>
      </c>
      <c r="C296" t="s">
        <v>11</v>
      </c>
      <c r="D296" t="s">
        <v>87</v>
      </c>
      <c r="E296" t="s">
        <v>89</v>
      </c>
      <c r="F296" t="s">
        <v>16</v>
      </c>
      <c r="G296" t="s">
        <v>91</v>
      </c>
      <c r="H296" s="2">
        <v>27</v>
      </c>
      <c r="I296" s="2">
        <v>1</v>
      </c>
      <c r="J296" s="3">
        <v>18.98</v>
      </c>
      <c r="K296" t="s">
        <v>13</v>
      </c>
      <c r="L296" s="3">
        <f t="shared" si="12"/>
        <v>0.70296296296296301</v>
      </c>
      <c r="M296" t="str">
        <f t="shared" si="13"/>
        <v>Thursday</v>
      </c>
      <c r="N296" t="str">
        <f t="shared" si="14"/>
        <v>Low</v>
      </c>
    </row>
    <row r="297" spans="1:14" x14ac:dyDescent="0.35">
      <c r="A297">
        <v>1477169011</v>
      </c>
      <c r="B297" s="1">
        <v>42665</v>
      </c>
      <c r="C297" t="s">
        <v>11</v>
      </c>
      <c r="D297" t="s">
        <v>87</v>
      </c>
      <c r="E297" t="s">
        <v>89</v>
      </c>
      <c r="F297" t="s">
        <v>16</v>
      </c>
      <c r="G297" t="s">
        <v>91</v>
      </c>
      <c r="H297" s="2">
        <v>25</v>
      </c>
      <c r="I297" s="2">
        <v>1</v>
      </c>
      <c r="J297" s="3">
        <v>18.98</v>
      </c>
      <c r="K297" t="s">
        <v>13</v>
      </c>
      <c r="L297" s="3">
        <f t="shared" si="12"/>
        <v>0.75919999999999999</v>
      </c>
      <c r="M297" t="str">
        <f t="shared" si="13"/>
        <v>Saturday</v>
      </c>
      <c r="N297" t="str">
        <f t="shared" si="14"/>
        <v>Low</v>
      </c>
    </row>
    <row r="298" spans="1:14" x14ac:dyDescent="0.35">
      <c r="A298">
        <v>1482080817</v>
      </c>
      <c r="B298" s="1">
        <v>42722</v>
      </c>
      <c r="C298" t="s">
        <v>11</v>
      </c>
      <c r="D298" t="s">
        <v>54</v>
      </c>
      <c r="E298" t="s">
        <v>89</v>
      </c>
      <c r="F298" t="s">
        <v>16</v>
      </c>
      <c r="G298" t="s">
        <v>91</v>
      </c>
      <c r="H298" s="2">
        <v>32</v>
      </c>
      <c r="I298" s="2">
        <v>1</v>
      </c>
      <c r="J298" s="3">
        <v>18.98</v>
      </c>
      <c r="K298" t="s">
        <v>13</v>
      </c>
      <c r="L298" s="3">
        <f t="shared" si="12"/>
        <v>0.59312500000000001</v>
      </c>
      <c r="M298" t="str">
        <f t="shared" si="13"/>
        <v>Sunday</v>
      </c>
      <c r="N298" t="str">
        <f t="shared" si="14"/>
        <v>Low</v>
      </c>
    </row>
    <row r="299" spans="1:14" x14ac:dyDescent="0.35">
      <c r="A299">
        <v>1474780419</v>
      </c>
      <c r="B299" s="1">
        <v>42637</v>
      </c>
      <c r="C299" t="s">
        <v>11</v>
      </c>
      <c r="D299" t="s">
        <v>87</v>
      </c>
      <c r="E299" t="s">
        <v>89</v>
      </c>
      <c r="F299" t="s">
        <v>12</v>
      </c>
      <c r="G299" t="s">
        <v>91</v>
      </c>
      <c r="H299" s="2">
        <v>43</v>
      </c>
      <c r="I299" s="2">
        <v>1</v>
      </c>
      <c r="J299" s="3">
        <v>18.98</v>
      </c>
      <c r="K299" t="s">
        <v>13</v>
      </c>
      <c r="L299" s="3">
        <f t="shared" si="12"/>
        <v>0.44139534883720932</v>
      </c>
      <c r="M299" t="str">
        <f t="shared" si="13"/>
        <v>Saturday</v>
      </c>
      <c r="N299" t="str">
        <f t="shared" si="14"/>
        <v>Low</v>
      </c>
    </row>
    <row r="300" spans="1:14" x14ac:dyDescent="0.35">
      <c r="A300">
        <v>1496317173</v>
      </c>
      <c r="B300" s="1">
        <v>42887</v>
      </c>
      <c r="C300" t="s">
        <v>40</v>
      </c>
      <c r="D300" t="s">
        <v>47</v>
      </c>
      <c r="E300" t="s">
        <v>89</v>
      </c>
      <c r="F300" t="s">
        <v>12</v>
      </c>
      <c r="G300" t="s">
        <v>90</v>
      </c>
      <c r="H300" s="2">
        <v>28</v>
      </c>
      <c r="I300" s="2">
        <v>1</v>
      </c>
      <c r="J300" s="3">
        <v>18.989999999999998</v>
      </c>
      <c r="K300" t="s">
        <v>13</v>
      </c>
      <c r="L300" s="3">
        <f t="shared" si="12"/>
        <v>0.67821428571428566</v>
      </c>
      <c r="M300" t="str">
        <f t="shared" si="13"/>
        <v>Thursday</v>
      </c>
      <c r="N300" t="str">
        <f t="shared" si="14"/>
        <v>Low</v>
      </c>
    </row>
    <row r="301" spans="1:14" x14ac:dyDescent="0.35">
      <c r="A301">
        <v>1475857311</v>
      </c>
      <c r="B301" s="1">
        <v>42650</v>
      </c>
      <c r="C301" t="s">
        <v>11</v>
      </c>
      <c r="D301" t="s">
        <v>87</v>
      </c>
      <c r="E301" t="s">
        <v>89</v>
      </c>
      <c r="F301" t="s">
        <v>16</v>
      </c>
      <c r="G301" t="s">
        <v>90</v>
      </c>
      <c r="H301" s="2">
        <v>31</v>
      </c>
      <c r="I301" s="2">
        <v>1</v>
      </c>
      <c r="J301" s="3">
        <v>18.989999999999998</v>
      </c>
      <c r="K301" t="s">
        <v>13</v>
      </c>
      <c r="L301" s="3">
        <f t="shared" si="12"/>
        <v>0.61258064516129029</v>
      </c>
      <c r="M301" t="str">
        <f t="shared" si="13"/>
        <v>Friday</v>
      </c>
      <c r="N301" t="str">
        <f t="shared" si="14"/>
        <v>Low</v>
      </c>
    </row>
    <row r="302" spans="1:14" x14ac:dyDescent="0.35">
      <c r="A302">
        <v>1480601444</v>
      </c>
      <c r="B302" s="1">
        <v>42705</v>
      </c>
      <c r="C302" t="s">
        <v>11</v>
      </c>
      <c r="D302" t="s">
        <v>87</v>
      </c>
      <c r="E302" t="s">
        <v>89</v>
      </c>
      <c r="F302" t="s">
        <v>12</v>
      </c>
      <c r="G302" t="s">
        <v>91</v>
      </c>
      <c r="H302" s="2">
        <v>16</v>
      </c>
      <c r="I302" s="2">
        <v>1</v>
      </c>
      <c r="J302" s="3">
        <v>18.989999999999998</v>
      </c>
      <c r="K302" t="s">
        <v>13</v>
      </c>
      <c r="L302" s="3">
        <f t="shared" si="12"/>
        <v>1.1868749999999999</v>
      </c>
      <c r="M302" t="str">
        <f t="shared" si="13"/>
        <v>Thursday</v>
      </c>
      <c r="N302" t="str">
        <f t="shared" si="14"/>
        <v>Low</v>
      </c>
    </row>
    <row r="303" spans="1:14" x14ac:dyDescent="0.35">
      <c r="A303">
        <v>1486147243</v>
      </c>
      <c r="B303" s="1">
        <v>42769</v>
      </c>
      <c r="C303" t="s">
        <v>11</v>
      </c>
      <c r="D303" t="s">
        <v>87</v>
      </c>
      <c r="E303" t="s">
        <v>89</v>
      </c>
      <c r="F303" t="s">
        <v>12</v>
      </c>
      <c r="G303" t="s">
        <v>91</v>
      </c>
      <c r="H303" s="2">
        <v>10</v>
      </c>
      <c r="I303" s="2">
        <v>1</v>
      </c>
      <c r="J303" s="3">
        <v>18.989999999999998</v>
      </c>
      <c r="K303" t="s">
        <v>13</v>
      </c>
      <c r="L303" s="3">
        <f t="shared" si="12"/>
        <v>1.8989999999999998</v>
      </c>
      <c r="M303" t="str">
        <f t="shared" si="13"/>
        <v>Friday</v>
      </c>
      <c r="N303" t="str">
        <f t="shared" si="14"/>
        <v>Low</v>
      </c>
    </row>
    <row r="304" spans="1:14" x14ac:dyDescent="0.35">
      <c r="A304">
        <v>1476657371</v>
      </c>
      <c r="B304" s="1">
        <v>42659</v>
      </c>
      <c r="C304" t="s">
        <v>11</v>
      </c>
      <c r="D304" t="s">
        <v>87</v>
      </c>
      <c r="E304" t="s">
        <v>89</v>
      </c>
      <c r="F304" t="s">
        <v>16</v>
      </c>
      <c r="G304" t="s">
        <v>90</v>
      </c>
      <c r="H304" s="2">
        <v>16</v>
      </c>
      <c r="I304" s="2">
        <v>1</v>
      </c>
      <c r="J304" s="3">
        <v>18.989999999999998</v>
      </c>
      <c r="K304" t="s">
        <v>13</v>
      </c>
      <c r="L304" s="3">
        <f t="shared" si="12"/>
        <v>1.1868749999999999</v>
      </c>
      <c r="M304" t="str">
        <f t="shared" si="13"/>
        <v>Sunday</v>
      </c>
      <c r="N304" t="str">
        <f t="shared" si="14"/>
        <v>Low</v>
      </c>
    </row>
    <row r="305" spans="1:14" x14ac:dyDescent="0.35">
      <c r="A305">
        <v>1484272649</v>
      </c>
      <c r="B305" s="1">
        <v>42747</v>
      </c>
      <c r="C305" t="s">
        <v>11</v>
      </c>
      <c r="D305" t="s">
        <v>87</v>
      </c>
      <c r="E305" t="s">
        <v>89</v>
      </c>
      <c r="F305" t="s">
        <v>12</v>
      </c>
      <c r="G305" t="s">
        <v>91</v>
      </c>
      <c r="H305" s="2">
        <v>15</v>
      </c>
      <c r="I305" s="2">
        <v>1</v>
      </c>
      <c r="J305" s="3">
        <v>18.989999999999998</v>
      </c>
      <c r="K305" t="s">
        <v>13</v>
      </c>
      <c r="L305" s="3">
        <f t="shared" si="12"/>
        <v>1.2659999999999998</v>
      </c>
      <c r="M305" t="str">
        <f t="shared" si="13"/>
        <v>Thursday</v>
      </c>
      <c r="N305" t="str">
        <f t="shared" si="14"/>
        <v>Low</v>
      </c>
    </row>
    <row r="306" spans="1:14" x14ac:dyDescent="0.35">
      <c r="A306">
        <v>1495921426</v>
      </c>
      <c r="B306" s="1">
        <v>42882</v>
      </c>
      <c r="C306" t="s">
        <v>11</v>
      </c>
      <c r="D306" t="s">
        <v>87</v>
      </c>
      <c r="E306" t="s">
        <v>89</v>
      </c>
      <c r="F306" t="s">
        <v>16</v>
      </c>
      <c r="G306" t="s">
        <v>90</v>
      </c>
      <c r="H306" s="2">
        <v>14</v>
      </c>
      <c r="I306" s="2">
        <v>1</v>
      </c>
      <c r="J306" s="3">
        <v>18.989999999999998</v>
      </c>
      <c r="K306" t="s">
        <v>13</v>
      </c>
      <c r="L306" s="3">
        <f t="shared" si="12"/>
        <v>1.3564285714285713</v>
      </c>
      <c r="M306" t="str">
        <f t="shared" si="13"/>
        <v>Saturday</v>
      </c>
      <c r="N306" t="str">
        <f t="shared" si="14"/>
        <v>Low</v>
      </c>
    </row>
    <row r="307" spans="1:14" x14ac:dyDescent="0.35">
      <c r="A307">
        <v>1496959519</v>
      </c>
      <c r="B307" s="1">
        <v>42894</v>
      </c>
      <c r="C307" t="s">
        <v>11</v>
      </c>
      <c r="D307" t="s">
        <v>31</v>
      </c>
      <c r="E307" t="s">
        <v>89</v>
      </c>
      <c r="F307" t="s">
        <v>12</v>
      </c>
      <c r="G307" t="s">
        <v>91</v>
      </c>
      <c r="H307" s="2">
        <v>28</v>
      </c>
      <c r="I307" s="2">
        <v>1</v>
      </c>
      <c r="J307" s="3">
        <v>18.989999999999998</v>
      </c>
      <c r="K307" t="s">
        <v>13</v>
      </c>
      <c r="L307" s="3">
        <f t="shared" si="12"/>
        <v>0.67821428571428566</v>
      </c>
      <c r="M307" t="str">
        <f t="shared" si="13"/>
        <v>Thursday</v>
      </c>
      <c r="N307" t="str">
        <f t="shared" si="14"/>
        <v>Low</v>
      </c>
    </row>
    <row r="308" spans="1:14" x14ac:dyDescent="0.35">
      <c r="A308">
        <v>1479397954</v>
      </c>
      <c r="B308" s="1">
        <v>42691</v>
      </c>
      <c r="C308" t="s">
        <v>11</v>
      </c>
      <c r="D308" t="s">
        <v>87</v>
      </c>
      <c r="E308" t="s">
        <v>89</v>
      </c>
      <c r="F308" t="s">
        <v>12</v>
      </c>
      <c r="G308" t="s">
        <v>91</v>
      </c>
      <c r="H308" s="2">
        <v>53</v>
      </c>
      <c r="I308" s="2">
        <v>1</v>
      </c>
      <c r="J308" s="3">
        <v>18.989999999999998</v>
      </c>
      <c r="K308" t="s">
        <v>13</v>
      </c>
      <c r="L308" s="3">
        <f t="shared" si="12"/>
        <v>0.35830188679245278</v>
      </c>
      <c r="M308" t="str">
        <f t="shared" si="13"/>
        <v>Thursday</v>
      </c>
      <c r="N308" t="str">
        <f t="shared" si="14"/>
        <v>Low</v>
      </c>
    </row>
    <row r="309" spans="1:14" x14ac:dyDescent="0.35">
      <c r="A309">
        <v>1482175821</v>
      </c>
      <c r="B309" s="1">
        <v>42723</v>
      </c>
      <c r="C309" t="s">
        <v>11</v>
      </c>
      <c r="D309" t="s">
        <v>28</v>
      </c>
      <c r="E309" t="s">
        <v>89</v>
      </c>
      <c r="F309" t="s">
        <v>12</v>
      </c>
      <c r="G309" t="s">
        <v>91</v>
      </c>
      <c r="H309" s="2">
        <v>27</v>
      </c>
      <c r="I309" s="2">
        <v>1</v>
      </c>
      <c r="J309" s="3">
        <v>18.989999999999998</v>
      </c>
      <c r="K309" t="s">
        <v>13</v>
      </c>
      <c r="L309" s="3">
        <f t="shared" si="12"/>
        <v>0.70333333333333325</v>
      </c>
      <c r="M309" t="str">
        <f t="shared" si="13"/>
        <v>Monday</v>
      </c>
      <c r="N309" t="str">
        <f t="shared" si="14"/>
        <v>Low</v>
      </c>
    </row>
    <row r="310" spans="1:14" x14ac:dyDescent="0.35">
      <c r="A310">
        <v>1481683518</v>
      </c>
      <c r="B310" s="1">
        <v>42717</v>
      </c>
      <c r="C310" t="s">
        <v>40</v>
      </c>
      <c r="D310" t="s">
        <v>47</v>
      </c>
      <c r="E310" t="s">
        <v>89</v>
      </c>
      <c r="F310" t="s">
        <v>12</v>
      </c>
      <c r="G310" t="s">
        <v>91</v>
      </c>
      <c r="H310" s="2">
        <v>21</v>
      </c>
      <c r="I310" s="2">
        <v>1</v>
      </c>
      <c r="J310" s="3">
        <v>18.989999999999998</v>
      </c>
      <c r="K310" t="s">
        <v>13</v>
      </c>
      <c r="L310" s="3">
        <f t="shared" si="12"/>
        <v>0.90428571428571425</v>
      </c>
      <c r="M310" t="str">
        <f t="shared" si="13"/>
        <v>Tuesday</v>
      </c>
      <c r="N310" t="str">
        <f t="shared" si="14"/>
        <v>Low</v>
      </c>
    </row>
    <row r="311" spans="1:14" x14ac:dyDescent="0.35">
      <c r="A311">
        <v>1487603071</v>
      </c>
      <c r="B311" s="1">
        <v>42786</v>
      </c>
      <c r="C311" t="s">
        <v>11</v>
      </c>
      <c r="D311" t="s">
        <v>37</v>
      </c>
      <c r="E311" t="s">
        <v>89</v>
      </c>
      <c r="F311" t="s">
        <v>12</v>
      </c>
      <c r="G311" t="s">
        <v>90</v>
      </c>
      <c r="H311" s="2">
        <v>18</v>
      </c>
      <c r="I311" s="2">
        <v>1</v>
      </c>
      <c r="J311" s="3">
        <v>18.989999999999998</v>
      </c>
      <c r="K311" t="s">
        <v>13</v>
      </c>
      <c r="L311" s="3">
        <f t="shared" si="12"/>
        <v>1.0549999999999999</v>
      </c>
      <c r="M311" t="str">
        <f t="shared" si="13"/>
        <v>Monday</v>
      </c>
      <c r="N311" t="str">
        <f t="shared" si="14"/>
        <v>Low</v>
      </c>
    </row>
    <row r="312" spans="1:14" x14ac:dyDescent="0.35">
      <c r="A312">
        <v>1480090647</v>
      </c>
      <c r="B312" s="1">
        <v>42699</v>
      </c>
      <c r="C312" t="s">
        <v>11</v>
      </c>
      <c r="D312" t="s">
        <v>87</v>
      </c>
      <c r="E312" t="s">
        <v>89</v>
      </c>
      <c r="F312" t="s">
        <v>12</v>
      </c>
      <c r="G312" t="s">
        <v>91</v>
      </c>
      <c r="H312" s="2">
        <v>16</v>
      </c>
      <c r="I312" s="2">
        <v>1</v>
      </c>
      <c r="J312" s="3">
        <v>18.989999999999998</v>
      </c>
      <c r="K312" t="s">
        <v>13</v>
      </c>
      <c r="L312" s="3">
        <f t="shared" si="12"/>
        <v>1.1868749999999999</v>
      </c>
      <c r="M312" t="str">
        <f t="shared" si="13"/>
        <v>Friday</v>
      </c>
      <c r="N312" t="str">
        <f t="shared" si="14"/>
        <v>Low</v>
      </c>
    </row>
    <row r="313" spans="1:14" x14ac:dyDescent="0.35">
      <c r="A313">
        <v>1477273098</v>
      </c>
      <c r="B313" s="1">
        <v>42666</v>
      </c>
      <c r="C313" t="s">
        <v>11</v>
      </c>
      <c r="D313" t="s">
        <v>87</v>
      </c>
      <c r="E313" t="s">
        <v>89</v>
      </c>
      <c r="F313" t="s">
        <v>16</v>
      </c>
      <c r="G313" t="s">
        <v>91</v>
      </c>
      <c r="H313" s="2">
        <v>53</v>
      </c>
      <c r="I313" s="2">
        <v>1</v>
      </c>
      <c r="J313" s="3">
        <v>18.989999999999998</v>
      </c>
      <c r="K313" t="s">
        <v>13</v>
      </c>
      <c r="L313" s="3">
        <f t="shared" si="12"/>
        <v>0.35830188679245278</v>
      </c>
      <c r="M313" t="str">
        <f t="shared" si="13"/>
        <v>Sunday</v>
      </c>
      <c r="N313" t="str">
        <f t="shared" si="14"/>
        <v>Low</v>
      </c>
    </row>
    <row r="314" spans="1:14" x14ac:dyDescent="0.35">
      <c r="A314">
        <v>1481929830</v>
      </c>
      <c r="B314" s="1">
        <v>42720</v>
      </c>
      <c r="C314" t="s">
        <v>11</v>
      </c>
      <c r="D314" t="s">
        <v>87</v>
      </c>
      <c r="E314" t="s">
        <v>89</v>
      </c>
      <c r="F314" t="s">
        <v>16</v>
      </c>
      <c r="G314" t="s">
        <v>91</v>
      </c>
      <c r="H314" s="2">
        <v>13</v>
      </c>
      <c r="I314" s="2">
        <v>1</v>
      </c>
      <c r="J314" s="3">
        <v>18.989999999999998</v>
      </c>
      <c r="K314" t="s">
        <v>13</v>
      </c>
      <c r="L314" s="3">
        <f t="shared" si="12"/>
        <v>1.4607692307692306</v>
      </c>
      <c r="M314" t="str">
        <f t="shared" si="13"/>
        <v>Friday</v>
      </c>
      <c r="N314" t="str">
        <f t="shared" si="14"/>
        <v>Low</v>
      </c>
    </row>
    <row r="315" spans="1:14" x14ac:dyDescent="0.35">
      <c r="A315">
        <v>1481573930</v>
      </c>
      <c r="B315" s="1">
        <v>42716</v>
      </c>
      <c r="C315" t="s">
        <v>11</v>
      </c>
      <c r="D315" t="s">
        <v>20</v>
      </c>
      <c r="E315" t="s">
        <v>89</v>
      </c>
      <c r="F315" t="s">
        <v>16</v>
      </c>
      <c r="G315" t="s">
        <v>91</v>
      </c>
      <c r="H315" s="2">
        <v>13</v>
      </c>
      <c r="I315" s="2">
        <v>1</v>
      </c>
      <c r="J315" s="3">
        <v>18.989999999999998</v>
      </c>
      <c r="K315" t="s">
        <v>13</v>
      </c>
      <c r="L315" s="3">
        <f t="shared" si="12"/>
        <v>1.4607692307692306</v>
      </c>
      <c r="M315" t="str">
        <f t="shared" si="13"/>
        <v>Monday</v>
      </c>
      <c r="N315" t="str">
        <f t="shared" si="14"/>
        <v>Low</v>
      </c>
    </row>
    <row r="316" spans="1:14" x14ac:dyDescent="0.35">
      <c r="A316">
        <v>1480974918</v>
      </c>
      <c r="B316" s="1">
        <v>42709</v>
      </c>
      <c r="C316" t="s">
        <v>11</v>
      </c>
      <c r="D316" t="s">
        <v>87</v>
      </c>
      <c r="E316" t="s">
        <v>89</v>
      </c>
      <c r="F316" t="s">
        <v>12</v>
      </c>
      <c r="G316" t="s">
        <v>91</v>
      </c>
      <c r="H316" s="2">
        <v>23</v>
      </c>
      <c r="I316" s="2">
        <v>1</v>
      </c>
      <c r="J316" s="3">
        <v>18.989999999999998</v>
      </c>
      <c r="K316" t="s">
        <v>13</v>
      </c>
      <c r="L316" s="3">
        <f t="shared" si="12"/>
        <v>0.82565217391304346</v>
      </c>
      <c r="M316" t="str">
        <f t="shared" si="13"/>
        <v>Monday</v>
      </c>
      <c r="N316" t="str">
        <f t="shared" si="14"/>
        <v>Low</v>
      </c>
    </row>
    <row r="317" spans="1:14" x14ac:dyDescent="0.35">
      <c r="A317">
        <v>1486927866</v>
      </c>
      <c r="B317" s="1">
        <v>42778</v>
      </c>
      <c r="C317" t="s">
        <v>11</v>
      </c>
      <c r="D317" t="s">
        <v>87</v>
      </c>
      <c r="E317" t="s">
        <v>89</v>
      </c>
      <c r="F317" t="s">
        <v>16</v>
      </c>
      <c r="G317" t="s">
        <v>90</v>
      </c>
      <c r="H317" s="2">
        <v>13</v>
      </c>
      <c r="I317" s="2">
        <v>1</v>
      </c>
      <c r="J317" s="3">
        <v>18.989999999999998</v>
      </c>
      <c r="K317" t="s">
        <v>13</v>
      </c>
      <c r="L317" s="3">
        <f t="shared" si="12"/>
        <v>1.4607692307692306</v>
      </c>
      <c r="M317" t="str">
        <f t="shared" si="13"/>
        <v>Sunday</v>
      </c>
      <c r="N317" t="str">
        <f t="shared" si="14"/>
        <v>Low</v>
      </c>
    </row>
    <row r="318" spans="1:14" x14ac:dyDescent="0.35">
      <c r="A318">
        <v>1480876654</v>
      </c>
      <c r="B318" s="1">
        <v>42708</v>
      </c>
      <c r="C318" t="s">
        <v>11</v>
      </c>
      <c r="D318" t="s">
        <v>87</v>
      </c>
      <c r="E318" t="s">
        <v>89</v>
      </c>
      <c r="F318" t="s">
        <v>16</v>
      </c>
      <c r="G318" t="s">
        <v>91</v>
      </c>
      <c r="H318" s="2">
        <v>17</v>
      </c>
      <c r="I318" s="2">
        <v>1</v>
      </c>
      <c r="J318" s="3">
        <v>18.989999999999998</v>
      </c>
      <c r="K318" t="s">
        <v>13</v>
      </c>
      <c r="L318" s="3">
        <f t="shared" si="12"/>
        <v>1.1170588235294117</v>
      </c>
      <c r="M318" t="str">
        <f t="shared" si="13"/>
        <v>Sunday</v>
      </c>
      <c r="N318" t="str">
        <f t="shared" si="14"/>
        <v>Low</v>
      </c>
    </row>
    <row r="319" spans="1:14" x14ac:dyDescent="0.35">
      <c r="A319">
        <v>1498838558</v>
      </c>
      <c r="B319" s="1">
        <v>42916</v>
      </c>
      <c r="C319" t="s">
        <v>11</v>
      </c>
      <c r="D319" t="s">
        <v>87</v>
      </c>
      <c r="E319" t="s">
        <v>89</v>
      </c>
      <c r="F319" t="s">
        <v>12</v>
      </c>
      <c r="G319" t="s">
        <v>91</v>
      </c>
      <c r="H319" s="2">
        <v>21</v>
      </c>
      <c r="I319" s="2">
        <v>1</v>
      </c>
      <c r="J319" s="3">
        <v>18.989999999999998</v>
      </c>
      <c r="K319" t="s">
        <v>13</v>
      </c>
      <c r="L319" s="3">
        <f t="shared" si="12"/>
        <v>0.90428571428571425</v>
      </c>
      <c r="M319" t="str">
        <f t="shared" si="13"/>
        <v>Friday</v>
      </c>
      <c r="N319" t="str">
        <f t="shared" si="14"/>
        <v>Low</v>
      </c>
    </row>
    <row r="320" spans="1:14" x14ac:dyDescent="0.35">
      <c r="A320">
        <v>1489795021</v>
      </c>
      <c r="B320" s="1">
        <v>42811</v>
      </c>
      <c r="C320" t="s">
        <v>11</v>
      </c>
      <c r="D320" t="s">
        <v>87</v>
      </c>
      <c r="E320" t="s">
        <v>89</v>
      </c>
      <c r="F320" t="s">
        <v>12</v>
      </c>
      <c r="G320" t="s">
        <v>90</v>
      </c>
      <c r="H320" s="2">
        <v>24</v>
      </c>
      <c r="I320" s="2">
        <v>1</v>
      </c>
      <c r="J320" s="3">
        <v>18.989999999999998</v>
      </c>
      <c r="K320" t="s">
        <v>13</v>
      </c>
      <c r="L320" s="3">
        <f t="shared" si="12"/>
        <v>0.7912499999999999</v>
      </c>
      <c r="M320" t="str">
        <f t="shared" si="13"/>
        <v>Friday</v>
      </c>
      <c r="N320" t="str">
        <f t="shared" si="14"/>
        <v>Low</v>
      </c>
    </row>
    <row r="321" spans="1:14" x14ac:dyDescent="0.35">
      <c r="A321">
        <v>1499122026</v>
      </c>
      <c r="B321" s="1">
        <v>42919</v>
      </c>
      <c r="C321" t="s">
        <v>11</v>
      </c>
      <c r="D321" t="s">
        <v>87</v>
      </c>
      <c r="E321" t="s">
        <v>89</v>
      </c>
      <c r="F321" t="s">
        <v>16</v>
      </c>
      <c r="G321" t="s">
        <v>90</v>
      </c>
      <c r="H321" s="2">
        <v>20</v>
      </c>
      <c r="I321" s="2">
        <v>1</v>
      </c>
      <c r="J321" s="3">
        <v>18.989999999999998</v>
      </c>
      <c r="K321" t="s">
        <v>13</v>
      </c>
      <c r="L321" s="3">
        <f t="shared" si="12"/>
        <v>0.9494999999999999</v>
      </c>
      <c r="M321" t="str">
        <f t="shared" si="13"/>
        <v>Monday</v>
      </c>
      <c r="N321" t="str">
        <f t="shared" si="14"/>
        <v>Low</v>
      </c>
    </row>
    <row r="322" spans="1:14" x14ac:dyDescent="0.35">
      <c r="A322">
        <v>1499450297</v>
      </c>
      <c r="B322" s="1">
        <v>42923</v>
      </c>
      <c r="C322" t="s">
        <v>11</v>
      </c>
      <c r="D322" t="s">
        <v>18</v>
      </c>
      <c r="E322" t="s">
        <v>89</v>
      </c>
      <c r="F322" t="s">
        <v>16</v>
      </c>
      <c r="G322" t="s">
        <v>90</v>
      </c>
      <c r="H322" s="2">
        <v>13</v>
      </c>
      <c r="I322" s="2">
        <v>1</v>
      </c>
      <c r="J322" s="3">
        <v>18.989999999999998</v>
      </c>
      <c r="K322" t="s">
        <v>13</v>
      </c>
      <c r="L322" s="3">
        <f t="shared" si="12"/>
        <v>1.4607692307692306</v>
      </c>
      <c r="M322" t="str">
        <f t="shared" si="13"/>
        <v>Friday</v>
      </c>
      <c r="N322" t="str">
        <f t="shared" si="14"/>
        <v>Low</v>
      </c>
    </row>
    <row r="323" spans="1:14" x14ac:dyDescent="0.35">
      <c r="A323">
        <v>1482721907</v>
      </c>
      <c r="B323" s="1">
        <v>42729</v>
      </c>
      <c r="C323" t="s">
        <v>11</v>
      </c>
      <c r="D323" t="s">
        <v>17</v>
      </c>
      <c r="E323" t="s">
        <v>89</v>
      </c>
      <c r="F323" t="s">
        <v>16</v>
      </c>
      <c r="G323" t="s">
        <v>90</v>
      </c>
      <c r="H323" s="2">
        <v>14</v>
      </c>
      <c r="I323" s="2">
        <v>1</v>
      </c>
      <c r="J323" s="3">
        <v>18.989999999999998</v>
      </c>
      <c r="K323" t="s">
        <v>13</v>
      </c>
      <c r="L323" s="3">
        <f t="shared" ref="L323:L386" si="15">J323/H323</f>
        <v>1.3564285714285713</v>
      </c>
      <c r="M323" t="str">
        <f t="shared" ref="M323:M386" si="16">TEXT(B323, "dddd")</f>
        <v>Sunday</v>
      </c>
      <c r="N323" t="str">
        <f t="shared" ref="N323:N386" si="17">IF(J323&gt;200,"High",IF(J323&gt;=20,"Medium","Low"))</f>
        <v>Low</v>
      </c>
    </row>
    <row r="324" spans="1:14" x14ac:dyDescent="0.35">
      <c r="A324">
        <v>1482520942</v>
      </c>
      <c r="B324" s="1">
        <v>42727</v>
      </c>
      <c r="C324" t="s">
        <v>11</v>
      </c>
      <c r="D324" t="s">
        <v>14</v>
      </c>
      <c r="E324" t="s">
        <v>89</v>
      </c>
      <c r="F324" t="s">
        <v>16</v>
      </c>
      <c r="G324" t="s">
        <v>91</v>
      </c>
      <c r="H324" s="2">
        <v>15</v>
      </c>
      <c r="I324" s="2">
        <v>1</v>
      </c>
      <c r="J324" s="3">
        <v>18.989999999999998</v>
      </c>
      <c r="K324" t="s">
        <v>13</v>
      </c>
      <c r="L324" s="3">
        <f t="shared" si="15"/>
        <v>1.2659999999999998</v>
      </c>
      <c r="M324" t="str">
        <f t="shared" si="16"/>
        <v>Friday</v>
      </c>
      <c r="N324" t="str">
        <f t="shared" si="17"/>
        <v>Low</v>
      </c>
    </row>
    <row r="325" spans="1:14" x14ac:dyDescent="0.35">
      <c r="A325">
        <v>1481934995</v>
      </c>
      <c r="B325" s="1">
        <v>42720</v>
      </c>
      <c r="C325" t="s">
        <v>11</v>
      </c>
      <c r="D325" t="s">
        <v>87</v>
      </c>
      <c r="E325" t="s">
        <v>89</v>
      </c>
      <c r="F325" t="s">
        <v>16</v>
      </c>
      <c r="G325" t="s">
        <v>91</v>
      </c>
      <c r="H325" s="2">
        <v>14</v>
      </c>
      <c r="I325" s="2">
        <v>1</v>
      </c>
      <c r="J325" s="3">
        <v>18.989999999999998</v>
      </c>
      <c r="K325" t="s">
        <v>13</v>
      </c>
      <c r="L325" s="3">
        <f t="shared" si="15"/>
        <v>1.3564285714285713</v>
      </c>
      <c r="M325" t="str">
        <f t="shared" si="16"/>
        <v>Friday</v>
      </c>
      <c r="N325" t="str">
        <f t="shared" si="17"/>
        <v>Low</v>
      </c>
    </row>
    <row r="326" spans="1:14" x14ac:dyDescent="0.35">
      <c r="A326">
        <v>1495206625</v>
      </c>
      <c r="B326" s="1">
        <v>42874</v>
      </c>
      <c r="C326" t="s">
        <v>11</v>
      </c>
      <c r="D326" t="s">
        <v>17</v>
      </c>
      <c r="E326" t="s">
        <v>89</v>
      </c>
      <c r="F326" t="s">
        <v>16</v>
      </c>
      <c r="G326" t="s">
        <v>90</v>
      </c>
      <c r="H326" s="2">
        <v>19</v>
      </c>
      <c r="I326" s="2">
        <v>1</v>
      </c>
      <c r="J326" s="3">
        <v>18.989999999999998</v>
      </c>
      <c r="K326" t="s">
        <v>13</v>
      </c>
      <c r="L326" s="3">
        <f t="shared" si="15"/>
        <v>0.99947368421052618</v>
      </c>
      <c r="M326" t="str">
        <f t="shared" si="16"/>
        <v>Friday</v>
      </c>
      <c r="N326" t="str">
        <f t="shared" si="17"/>
        <v>Low</v>
      </c>
    </row>
    <row r="327" spans="1:14" x14ac:dyDescent="0.35">
      <c r="A327">
        <v>1489477049</v>
      </c>
      <c r="B327" s="1">
        <v>42808</v>
      </c>
      <c r="C327" t="s">
        <v>11</v>
      </c>
      <c r="D327" t="s">
        <v>28</v>
      </c>
      <c r="E327" t="s">
        <v>89</v>
      </c>
      <c r="F327" t="s">
        <v>16</v>
      </c>
      <c r="G327" t="s">
        <v>90</v>
      </c>
      <c r="H327" s="2">
        <v>9</v>
      </c>
      <c r="I327" s="2">
        <v>1</v>
      </c>
      <c r="J327" s="3">
        <v>18.989999999999998</v>
      </c>
      <c r="K327" t="s">
        <v>13</v>
      </c>
      <c r="L327" s="3">
        <f t="shared" si="15"/>
        <v>2.11</v>
      </c>
      <c r="M327" t="str">
        <f t="shared" si="16"/>
        <v>Tuesday</v>
      </c>
      <c r="N327" t="str">
        <f t="shared" si="17"/>
        <v>Low</v>
      </c>
    </row>
    <row r="328" spans="1:14" x14ac:dyDescent="0.35">
      <c r="A328">
        <v>1475442087</v>
      </c>
      <c r="B328" s="1">
        <v>42645</v>
      </c>
      <c r="C328" t="s">
        <v>11</v>
      </c>
      <c r="D328" t="s">
        <v>37</v>
      </c>
      <c r="E328" t="s">
        <v>89</v>
      </c>
      <c r="F328" t="s">
        <v>16</v>
      </c>
      <c r="G328" t="s">
        <v>90</v>
      </c>
      <c r="H328" s="2">
        <v>18</v>
      </c>
      <c r="I328" s="2">
        <v>1</v>
      </c>
      <c r="J328" s="3">
        <v>18.989999999999998</v>
      </c>
      <c r="K328" t="s">
        <v>13</v>
      </c>
      <c r="L328" s="3">
        <f t="shared" si="15"/>
        <v>1.0549999999999999</v>
      </c>
      <c r="M328" t="str">
        <f t="shared" si="16"/>
        <v>Sunday</v>
      </c>
      <c r="N328" t="str">
        <f t="shared" si="17"/>
        <v>Low</v>
      </c>
    </row>
    <row r="329" spans="1:14" x14ac:dyDescent="0.35">
      <c r="A329">
        <v>1494622534</v>
      </c>
      <c r="B329" s="1">
        <v>42867</v>
      </c>
      <c r="C329" t="s">
        <v>11</v>
      </c>
      <c r="D329" t="s">
        <v>87</v>
      </c>
      <c r="E329" t="s">
        <v>89</v>
      </c>
      <c r="F329" t="s">
        <v>12</v>
      </c>
      <c r="G329" t="s">
        <v>90</v>
      </c>
      <c r="H329" s="2">
        <v>11</v>
      </c>
      <c r="I329" s="2">
        <v>1</v>
      </c>
      <c r="J329" s="3">
        <v>18.989999999999998</v>
      </c>
      <c r="K329" t="s">
        <v>13</v>
      </c>
      <c r="L329" s="3">
        <f t="shared" si="15"/>
        <v>1.7263636363636363</v>
      </c>
      <c r="M329" t="str">
        <f t="shared" si="16"/>
        <v>Friday</v>
      </c>
      <c r="N329" t="str">
        <f t="shared" si="17"/>
        <v>Low</v>
      </c>
    </row>
    <row r="330" spans="1:14" x14ac:dyDescent="0.35">
      <c r="A330">
        <v>1486248782</v>
      </c>
      <c r="B330" s="1">
        <v>42770</v>
      </c>
      <c r="C330" t="s">
        <v>11</v>
      </c>
      <c r="D330" t="s">
        <v>87</v>
      </c>
      <c r="E330" t="s">
        <v>89</v>
      </c>
      <c r="F330" t="s">
        <v>16</v>
      </c>
      <c r="G330" t="s">
        <v>91</v>
      </c>
      <c r="H330" s="2">
        <v>30</v>
      </c>
      <c r="I330" s="2">
        <v>1</v>
      </c>
      <c r="J330" s="3">
        <v>18.989999999999998</v>
      </c>
      <c r="K330" t="s">
        <v>13</v>
      </c>
      <c r="L330" s="3">
        <f t="shared" si="15"/>
        <v>0.6329999999999999</v>
      </c>
      <c r="M330" t="str">
        <f t="shared" si="16"/>
        <v>Saturday</v>
      </c>
      <c r="N330" t="str">
        <f t="shared" si="17"/>
        <v>Low</v>
      </c>
    </row>
    <row r="331" spans="1:14" x14ac:dyDescent="0.35">
      <c r="A331">
        <v>1498098913</v>
      </c>
      <c r="B331" s="1">
        <v>42907</v>
      </c>
      <c r="C331" t="s">
        <v>11</v>
      </c>
      <c r="D331" t="s">
        <v>87</v>
      </c>
      <c r="E331" t="s">
        <v>89</v>
      </c>
      <c r="F331" t="s">
        <v>16</v>
      </c>
      <c r="G331" t="s">
        <v>91</v>
      </c>
      <c r="H331" s="2">
        <v>17</v>
      </c>
      <c r="I331" s="2">
        <v>1</v>
      </c>
      <c r="J331" s="3">
        <v>18.989999999999998</v>
      </c>
      <c r="K331" t="s">
        <v>13</v>
      </c>
      <c r="L331" s="3">
        <f t="shared" si="15"/>
        <v>1.1170588235294117</v>
      </c>
      <c r="M331" t="str">
        <f t="shared" si="16"/>
        <v>Wednesday</v>
      </c>
      <c r="N331" t="str">
        <f t="shared" si="17"/>
        <v>Low</v>
      </c>
    </row>
    <row r="332" spans="1:14" x14ac:dyDescent="0.35">
      <c r="A332">
        <v>1479687903</v>
      </c>
      <c r="B332" s="1">
        <v>42694</v>
      </c>
      <c r="C332" t="s">
        <v>11</v>
      </c>
      <c r="D332" t="s">
        <v>87</v>
      </c>
      <c r="E332" t="s">
        <v>89</v>
      </c>
      <c r="F332" t="s">
        <v>55</v>
      </c>
      <c r="G332" t="s">
        <v>91</v>
      </c>
      <c r="H332" s="2">
        <v>35</v>
      </c>
      <c r="I332" s="2">
        <v>1</v>
      </c>
      <c r="J332" s="3">
        <v>18.989999999999998</v>
      </c>
      <c r="K332" t="s">
        <v>13</v>
      </c>
      <c r="L332" s="3">
        <f t="shared" si="15"/>
        <v>0.54257142857142848</v>
      </c>
      <c r="M332" t="str">
        <f t="shared" si="16"/>
        <v>Sunday</v>
      </c>
      <c r="N332" t="str">
        <f t="shared" si="17"/>
        <v>Low</v>
      </c>
    </row>
    <row r="333" spans="1:14" x14ac:dyDescent="0.35">
      <c r="A333">
        <v>1481511099</v>
      </c>
      <c r="B333" s="1">
        <v>42715</v>
      </c>
      <c r="C333" t="s">
        <v>11</v>
      </c>
      <c r="D333" t="s">
        <v>87</v>
      </c>
      <c r="E333" t="s">
        <v>89</v>
      </c>
      <c r="F333" t="s">
        <v>16</v>
      </c>
      <c r="G333" t="s">
        <v>91</v>
      </c>
      <c r="H333" s="2">
        <v>20</v>
      </c>
      <c r="I333" s="2">
        <v>1</v>
      </c>
      <c r="J333" s="3">
        <v>18.989999999999998</v>
      </c>
      <c r="K333" t="s">
        <v>13</v>
      </c>
      <c r="L333" s="3">
        <f t="shared" si="15"/>
        <v>0.9494999999999999</v>
      </c>
      <c r="M333" t="str">
        <f t="shared" si="16"/>
        <v>Sunday</v>
      </c>
      <c r="N333" t="str">
        <f t="shared" si="17"/>
        <v>Low</v>
      </c>
    </row>
    <row r="334" spans="1:14" x14ac:dyDescent="0.35">
      <c r="A334">
        <v>1493411447</v>
      </c>
      <c r="B334" s="1">
        <v>42853</v>
      </c>
      <c r="C334" t="s">
        <v>11</v>
      </c>
      <c r="D334" t="s">
        <v>87</v>
      </c>
      <c r="E334" t="s">
        <v>89</v>
      </c>
      <c r="F334" t="s">
        <v>12</v>
      </c>
      <c r="G334" t="s">
        <v>90</v>
      </c>
      <c r="H334" s="2">
        <v>16</v>
      </c>
      <c r="I334" s="2">
        <v>1</v>
      </c>
      <c r="J334" s="3">
        <v>18.989999999999998</v>
      </c>
      <c r="K334" t="s">
        <v>13</v>
      </c>
      <c r="L334" s="3">
        <f t="shared" si="15"/>
        <v>1.1868749999999999</v>
      </c>
      <c r="M334" t="str">
        <f t="shared" si="16"/>
        <v>Friday</v>
      </c>
      <c r="N334" t="str">
        <f t="shared" si="17"/>
        <v>Low</v>
      </c>
    </row>
    <row r="335" spans="1:14" x14ac:dyDescent="0.35">
      <c r="A335">
        <v>1484000332</v>
      </c>
      <c r="B335" s="1">
        <v>42744</v>
      </c>
      <c r="C335" t="s">
        <v>11</v>
      </c>
      <c r="D335" t="s">
        <v>87</v>
      </c>
      <c r="E335" t="s">
        <v>89</v>
      </c>
      <c r="F335" t="s">
        <v>26</v>
      </c>
      <c r="G335" t="s">
        <v>91</v>
      </c>
      <c r="H335" s="2">
        <v>8</v>
      </c>
      <c r="I335" s="2">
        <v>1</v>
      </c>
      <c r="J335" s="3">
        <v>18.989999999999998</v>
      </c>
      <c r="K335" t="s">
        <v>13</v>
      </c>
      <c r="L335" s="3">
        <f t="shared" si="15"/>
        <v>2.3737499999999998</v>
      </c>
      <c r="M335" t="str">
        <f t="shared" si="16"/>
        <v>Monday</v>
      </c>
      <c r="N335" t="str">
        <f t="shared" si="17"/>
        <v>Low</v>
      </c>
    </row>
    <row r="336" spans="1:14" x14ac:dyDescent="0.35">
      <c r="A336">
        <v>1477612642</v>
      </c>
      <c r="B336" s="1">
        <v>42670</v>
      </c>
      <c r="C336" t="s">
        <v>11</v>
      </c>
      <c r="D336" t="s">
        <v>87</v>
      </c>
      <c r="E336" t="s">
        <v>89</v>
      </c>
      <c r="F336" t="s">
        <v>16</v>
      </c>
      <c r="G336" t="s">
        <v>90</v>
      </c>
      <c r="H336" s="2">
        <v>14</v>
      </c>
      <c r="I336" s="2">
        <v>1</v>
      </c>
      <c r="J336" s="3">
        <v>18.989999999999998</v>
      </c>
      <c r="K336" t="s">
        <v>13</v>
      </c>
      <c r="L336" s="3">
        <f t="shared" si="15"/>
        <v>1.3564285714285713</v>
      </c>
      <c r="M336" t="str">
        <f t="shared" si="16"/>
        <v>Thursday</v>
      </c>
      <c r="N336" t="str">
        <f t="shared" si="17"/>
        <v>Low</v>
      </c>
    </row>
    <row r="337" spans="1:14" x14ac:dyDescent="0.35">
      <c r="A337">
        <v>1498773943</v>
      </c>
      <c r="B337" s="1">
        <v>42915</v>
      </c>
      <c r="C337" t="s">
        <v>11</v>
      </c>
      <c r="D337" t="s">
        <v>87</v>
      </c>
      <c r="E337" t="s">
        <v>89</v>
      </c>
      <c r="F337" t="s">
        <v>16</v>
      </c>
      <c r="G337" t="s">
        <v>91</v>
      </c>
      <c r="H337" s="2">
        <v>12</v>
      </c>
      <c r="I337" s="2">
        <v>1</v>
      </c>
      <c r="J337" s="3">
        <v>18.989999999999998</v>
      </c>
      <c r="K337" t="s">
        <v>13</v>
      </c>
      <c r="L337" s="3">
        <f t="shared" si="15"/>
        <v>1.5824999999999998</v>
      </c>
      <c r="M337" t="str">
        <f t="shared" si="16"/>
        <v>Thursday</v>
      </c>
      <c r="N337" t="str">
        <f t="shared" si="17"/>
        <v>Low</v>
      </c>
    </row>
    <row r="338" spans="1:14" x14ac:dyDescent="0.35">
      <c r="A338">
        <v>1492025860</v>
      </c>
      <c r="B338" s="1">
        <v>42837</v>
      </c>
      <c r="C338" t="s">
        <v>11</v>
      </c>
      <c r="D338" t="s">
        <v>87</v>
      </c>
      <c r="E338" t="s">
        <v>89</v>
      </c>
      <c r="F338" t="s">
        <v>12</v>
      </c>
      <c r="G338" t="s">
        <v>91</v>
      </c>
      <c r="H338" s="2">
        <v>13</v>
      </c>
      <c r="I338" s="2">
        <v>1</v>
      </c>
      <c r="J338" s="3">
        <v>18.989999999999998</v>
      </c>
      <c r="K338" t="s">
        <v>13</v>
      </c>
      <c r="L338" s="3">
        <f t="shared" si="15"/>
        <v>1.4607692307692306</v>
      </c>
      <c r="M338" t="str">
        <f t="shared" si="16"/>
        <v>Wednesday</v>
      </c>
      <c r="N338" t="str">
        <f t="shared" si="17"/>
        <v>Low</v>
      </c>
    </row>
    <row r="339" spans="1:14" x14ac:dyDescent="0.35">
      <c r="A339">
        <v>1497924345</v>
      </c>
      <c r="B339" s="1">
        <v>42905</v>
      </c>
      <c r="C339" t="s">
        <v>11</v>
      </c>
      <c r="D339" t="s">
        <v>18</v>
      </c>
      <c r="E339" t="s">
        <v>89</v>
      </c>
      <c r="F339" t="s">
        <v>16</v>
      </c>
      <c r="G339" t="s">
        <v>91</v>
      </c>
      <c r="H339" s="2">
        <v>37</v>
      </c>
      <c r="I339" s="2">
        <v>1</v>
      </c>
      <c r="J339" s="3">
        <v>18.989999999999998</v>
      </c>
      <c r="K339" t="s">
        <v>13</v>
      </c>
      <c r="L339" s="3">
        <f t="shared" si="15"/>
        <v>0.51324324324324322</v>
      </c>
      <c r="M339" t="str">
        <f t="shared" si="16"/>
        <v>Monday</v>
      </c>
      <c r="N339" t="str">
        <f t="shared" si="17"/>
        <v>Low</v>
      </c>
    </row>
    <row r="340" spans="1:14" x14ac:dyDescent="0.35">
      <c r="A340">
        <v>1489431679</v>
      </c>
      <c r="B340" s="1">
        <v>42807</v>
      </c>
      <c r="C340" t="s">
        <v>11</v>
      </c>
      <c r="D340" t="s">
        <v>87</v>
      </c>
      <c r="E340" t="s">
        <v>89</v>
      </c>
      <c r="F340" t="s">
        <v>12</v>
      </c>
      <c r="G340" t="s">
        <v>91</v>
      </c>
      <c r="H340" s="2">
        <v>18</v>
      </c>
      <c r="I340" s="2">
        <v>1</v>
      </c>
      <c r="J340" s="3">
        <v>18.989999999999998</v>
      </c>
      <c r="K340" t="s">
        <v>13</v>
      </c>
      <c r="L340" s="3">
        <f t="shared" si="15"/>
        <v>1.0549999999999999</v>
      </c>
      <c r="M340" t="str">
        <f t="shared" si="16"/>
        <v>Monday</v>
      </c>
      <c r="N340" t="str">
        <f t="shared" si="17"/>
        <v>Low</v>
      </c>
    </row>
    <row r="341" spans="1:14" x14ac:dyDescent="0.35">
      <c r="A341">
        <v>1487463037</v>
      </c>
      <c r="B341" s="1">
        <v>42784</v>
      </c>
      <c r="C341" t="s">
        <v>11</v>
      </c>
      <c r="D341" t="s">
        <v>87</v>
      </c>
      <c r="E341" t="s">
        <v>89</v>
      </c>
      <c r="F341" t="s">
        <v>12</v>
      </c>
      <c r="G341" t="s">
        <v>91</v>
      </c>
      <c r="H341" s="2">
        <v>16</v>
      </c>
      <c r="I341" s="2">
        <v>1</v>
      </c>
      <c r="J341" s="3">
        <v>18.989999999999998</v>
      </c>
      <c r="K341" t="s">
        <v>13</v>
      </c>
      <c r="L341" s="3">
        <f t="shared" si="15"/>
        <v>1.1868749999999999</v>
      </c>
      <c r="M341" t="str">
        <f t="shared" si="16"/>
        <v>Saturday</v>
      </c>
      <c r="N341" t="str">
        <f t="shared" si="17"/>
        <v>Low</v>
      </c>
    </row>
    <row r="342" spans="1:14" x14ac:dyDescent="0.35">
      <c r="A342">
        <v>1483031518</v>
      </c>
      <c r="B342" s="1">
        <v>42733</v>
      </c>
      <c r="C342" t="s">
        <v>11</v>
      </c>
      <c r="D342" t="s">
        <v>87</v>
      </c>
      <c r="E342" t="s">
        <v>89</v>
      </c>
      <c r="F342" t="s">
        <v>16</v>
      </c>
      <c r="G342" t="s">
        <v>91</v>
      </c>
      <c r="H342" s="2">
        <v>12</v>
      </c>
      <c r="I342" s="2">
        <v>1</v>
      </c>
      <c r="J342" s="3">
        <v>18.989999999999998</v>
      </c>
      <c r="K342" t="s">
        <v>13</v>
      </c>
      <c r="L342" s="3">
        <f t="shared" si="15"/>
        <v>1.5824999999999998</v>
      </c>
      <c r="M342" t="str">
        <f t="shared" si="16"/>
        <v>Thursday</v>
      </c>
      <c r="N342" t="str">
        <f t="shared" si="17"/>
        <v>Low</v>
      </c>
    </row>
    <row r="343" spans="1:14" x14ac:dyDescent="0.35">
      <c r="A343">
        <v>1481375422</v>
      </c>
      <c r="B343" s="1">
        <v>42714</v>
      </c>
      <c r="C343" t="s">
        <v>11</v>
      </c>
      <c r="D343" t="s">
        <v>87</v>
      </c>
      <c r="E343" t="s">
        <v>89</v>
      </c>
      <c r="F343" t="s">
        <v>16</v>
      </c>
      <c r="G343" t="s">
        <v>91</v>
      </c>
      <c r="H343" s="2">
        <v>14</v>
      </c>
      <c r="I343" s="2">
        <v>1</v>
      </c>
      <c r="J343" s="3">
        <v>18.989999999999998</v>
      </c>
      <c r="K343" t="s">
        <v>13</v>
      </c>
      <c r="L343" s="3">
        <f t="shared" si="15"/>
        <v>1.3564285714285713</v>
      </c>
      <c r="M343" t="str">
        <f t="shared" si="16"/>
        <v>Saturday</v>
      </c>
      <c r="N343" t="str">
        <f t="shared" si="17"/>
        <v>Low</v>
      </c>
    </row>
    <row r="344" spans="1:14" x14ac:dyDescent="0.35">
      <c r="A344">
        <v>1488239940</v>
      </c>
      <c r="B344" s="1">
        <v>42793</v>
      </c>
      <c r="C344" t="s">
        <v>11</v>
      </c>
      <c r="D344" t="s">
        <v>23</v>
      </c>
      <c r="E344" t="s">
        <v>89</v>
      </c>
      <c r="F344" t="s">
        <v>16</v>
      </c>
      <c r="G344" t="s">
        <v>90</v>
      </c>
      <c r="H344" s="2">
        <v>35</v>
      </c>
      <c r="I344" s="2">
        <v>1</v>
      </c>
      <c r="J344" s="3">
        <v>19.48</v>
      </c>
      <c r="K344" t="s">
        <v>13</v>
      </c>
      <c r="L344" s="3">
        <f t="shared" si="15"/>
        <v>0.55657142857142861</v>
      </c>
      <c r="M344" t="str">
        <f t="shared" si="16"/>
        <v>Monday</v>
      </c>
      <c r="N344" t="str">
        <f t="shared" si="17"/>
        <v>Low</v>
      </c>
    </row>
    <row r="345" spans="1:14" x14ac:dyDescent="0.35">
      <c r="A345">
        <v>1473476950</v>
      </c>
      <c r="B345" s="1">
        <v>42622</v>
      </c>
      <c r="C345" t="s">
        <v>11</v>
      </c>
      <c r="D345" t="s">
        <v>87</v>
      </c>
      <c r="E345" t="s">
        <v>89</v>
      </c>
      <c r="F345" t="s">
        <v>12</v>
      </c>
      <c r="G345" t="s">
        <v>90</v>
      </c>
      <c r="H345" s="2">
        <v>11</v>
      </c>
      <c r="I345" s="2">
        <v>1</v>
      </c>
      <c r="J345" s="3">
        <v>19.489999999999998</v>
      </c>
      <c r="K345" t="s">
        <v>13</v>
      </c>
      <c r="L345" s="3">
        <f t="shared" si="15"/>
        <v>1.7718181818181817</v>
      </c>
      <c r="M345" t="str">
        <f t="shared" si="16"/>
        <v>Friday</v>
      </c>
      <c r="N345" t="str">
        <f t="shared" si="17"/>
        <v>Low</v>
      </c>
    </row>
    <row r="346" spans="1:14" x14ac:dyDescent="0.35">
      <c r="A346">
        <v>1492038683</v>
      </c>
      <c r="B346" s="1">
        <v>42837</v>
      </c>
      <c r="C346" t="s">
        <v>40</v>
      </c>
      <c r="D346" t="s">
        <v>87</v>
      </c>
      <c r="E346" t="s">
        <v>89</v>
      </c>
      <c r="F346" t="s">
        <v>12</v>
      </c>
      <c r="G346" t="s">
        <v>91</v>
      </c>
      <c r="H346" s="2">
        <v>9</v>
      </c>
      <c r="I346" s="2">
        <v>1</v>
      </c>
      <c r="J346" s="3">
        <v>19.95</v>
      </c>
      <c r="K346" t="s">
        <v>13</v>
      </c>
      <c r="L346" s="3">
        <f t="shared" si="15"/>
        <v>2.2166666666666668</v>
      </c>
      <c r="M346" t="str">
        <f t="shared" si="16"/>
        <v>Wednesday</v>
      </c>
      <c r="N346" t="str">
        <f t="shared" si="17"/>
        <v>Low</v>
      </c>
    </row>
    <row r="347" spans="1:14" x14ac:dyDescent="0.35">
      <c r="A347">
        <v>1495851085</v>
      </c>
      <c r="B347" s="1">
        <v>42881</v>
      </c>
      <c r="C347" t="s">
        <v>11</v>
      </c>
      <c r="D347" t="s">
        <v>87</v>
      </c>
      <c r="E347" t="s">
        <v>89</v>
      </c>
      <c r="F347" t="s">
        <v>12</v>
      </c>
      <c r="G347" t="s">
        <v>90</v>
      </c>
      <c r="H347" s="2">
        <v>22</v>
      </c>
      <c r="I347" s="2">
        <v>1</v>
      </c>
      <c r="J347" s="3">
        <v>19.97</v>
      </c>
      <c r="K347" t="s">
        <v>13</v>
      </c>
      <c r="L347" s="3">
        <f t="shared" si="15"/>
        <v>0.90772727272727272</v>
      </c>
      <c r="M347" t="str">
        <f t="shared" si="16"/>
        <v>Friday</v>
      </c>
      <c r="N347" t="str">
        <f t="shared" si="17"/>
        <v>Low</v>
      </c>
    </row>
    <row r="348" spans="1:14" x14ac:dyDescent="0.35">
      <c r="A348">
        <v>1494414177</v>
      </c>
      <c r="B348" s="1">
        <v>42865</v>
      </c>
      <c r="C348" t="s">
        <v>11</v>
      </c>
      <c r="D348" t="s">
        <v>87</v>
      </c>
      <c r="E348" t="s">
        <v>89</v>
      </c>
      <c r="F348" t="s">
        <v>12</v>
      </c>
      <c r="G348" t="s">
        <v>90</v>
      </c>
      <c r="H348" s="2">
        <v>21</v>
      </c>
      <c r="I348" s="2">
        <v>1</v>
      </c>
      <c r="J348" s="3">
        <v>19.989999999999998</v>
      </c>
      <c r="K348" t="s">
        <v>13</v>
      </c>
      <c r="L348" s="3">
        <f t="shared" si="15"/>
        <v>0.95190476190476181</v>
      </c>
      <c r="M348" t="str">
        <f t="shared" si="16"/>
        <v>Wednesday</v>
      </c>
      <c r="N348" t="str">
        <f t="shared" si="17"/>
        <v>Low</v>
      </c>
    </row>
    <row r="349" spans="1:14" x14ac:dyDescent="0.35">
      <c r="A349">
        <v>1485225785</v>
      </c>
      <c r="B349" s="1">
        <v>42758</v>
      </c>
      <c r="C349" t="s">
        <v>11</v>
      </c>
      <c r="D349" t="s">
        <v>87</v>
      </c>
      <c r="E349" t="s">
        <v>89</v>
      </c>
      <c r="F349" t="s">
        <v>16</v>
      </c>
      <c r="G349" t="s">
        <v>91</v>
      </c>
      <c r="H349" s="2">
        <v>13</v>
      </c>
      <c r="I349" s="2">
        <v>1</v>
      </c>
      <c r="J349" s="3">
        <v>19.989999999999998</v>
      </c>
      <c r="K349" t="s">
        <v>13</v>
      </c>
      <c r="L349" s="3">
        <f t="shared" si="15"/>
        <v>1.5376923076923075</v>
      </c>
      <c r="M349" t="str">
        <f t="shared" si="16"/>
        <v>Monday</v>
      </c>
      <c r="N349" t="str">
        <f t="shared" si="17"/>
        <v>Low</v>
      </c>
    </row>
    <row r="350" spans="1:14" x14ac:dyDescent="0.35">
      <c r="A350">
        <v>1475354799</v>
      </c>
      <c r="B350" s="1">
        <v>42644</v>
      </c>
      <c r="C350" t="s">
        <v>11</v>
      </c>
      <c r="D350" t="s">
        <v>87</v>
      </c>
      <c r="E350" t="s">
        <v>89</v>
      </c>
      <c r="F350" t="s">
        <v>12</v>
      </c>
      <c r="G350" t="s">
        <v>90</v>
      </c>
      <c r="H350" s="2">
        <v>39</v>
      </c>
      <c r="I350" s="2">
        <v>1</v>
      </c>
      <c r="J350" s="3">
        <v>19.989999999999998</v>
      </c>
      <c r="K350" t="s">
        <v>13</v>
      </c>
      <c r="L350" s="3">
        <f t="shared" si="15"/>
        <v>0.51256410256410256</v>
      </c>
      <c r="M350" t="str">
        <f t="shared" si="16"/>
        <v>Saturday</v>
      </c>
      <c r="N350" t="str">
        <f t="shared" si="17"/>
        <v>Low</v>
      </c>
    </row>
    <row r="351" spans="1:14" x14ac:dyDescent="0.35">
      <c r="A351">
        <v>1480828188</v>
      </c>
      <c r="B351" s="1">
        <v>42707</v>
      </c>
      <c r="C351" t="s">
        <v>11</v>
      </c>
      <c r="D351" t="s">
        <v>87</v>
      </c>
      <c r="E351" t="s">
        <v>89</v>
      </c>
      <c r="F351" t="s">
        <v>16</v>
      </c>
      <c r="G351" t="s">
        <v>91</v>
      </c>
      <c r="H351" s="2">
        <v>12</v>
      </c>
      <c r="I351" s="2">
        <v>1</v>
      </c>
      <c r="J351" s="3">
        <v>19.989999999999998</v>
      </c>
      <c r="K351" t="s">
        <v>13</v>
      </c>
      <c r="L351" s="3">
        <f t="shared" si="15"/>
        <v>1.6658333333333333</v>
      </c>
      <c r="M351" t="str">
        <f t="shared" si="16"/>
        <v>Saturday</v>
      </c>
      <c r="N351" t="str">
        <f t="shared" si="17"/>
        <v>Low</v>
      </c>
    </row>
    <row r="352" spans="1:14" x14ac:dyDescent="0.35">
      <c r="A352">
        <v>1495075713</v>
      </c>
      <c r="B352" s="1">
        <v>42872</v>
      </c>
      <c r="C352" t="s">
        <v>11</v>
      </c>
      <c r="D352" t="s">
        <v>87</v>
      </c>
      <c r="E352" t="s">
        <v>89</v>
      </c>
      <c r="F352" t="s">
        <v>12</v>
      </c>
      <c r="G352" t="s">
        <v>91</v>
      </c>
      <c r="H352" s="2">
        <v>21</v>
      </c>
      <c r="I352" s="2">
        <v>1</v>
      </c>
      <c r="J352" s="3">
        <v>19.989999999999998</v>
      </c>
      <c r="K352" t="s">
        <v>13</v>
      </c>
      <c r="L352" s="3">
        <f t="shared" si="15"/>
        <v>0.95190476190476181</v>
      </c>
      <c r="M352" t="str">
        <f t="shared" si="16"/>
        <v>Wednesday</v>
      </c>
      <c r="N352" t="str">
        <f t="shared" si="17"/>
        <v>Low</v>
      </c>
    </row>
    <row r="353" spans="1:14" x14ac:dyDescent="0.35">
      <c r="A353">
        <v>1495676587</v>
      </c>
      <c r="B353" s="1">
        <v>42879</v>
      </c>
      <c r="C353" t="s">
        <v>11</v>
      </c>
      <c r="D353" t="s">
        <v>37</v>
      </c>
      <c r="E353" t="s">
        <v>89</v>
      </c>
      <c r="F353" t="s">
        <v>12</v>
      </c>
      <c r="G353" t="s">
        <v>90</v>
      </c>
      <c r="H353" s="2">
        <v>21</v>
      </c>
      <c r="I353" s="2">
        <v>1</v>
      </c>
      <c r="J353" s="3">
        <v>19.989999999999998</v>
      </c>
      <c r="K353" t="s">
        <v>13</v>
      </c>
      <c r="L353" s="3">
        <f t="shared" si="15"/>
        <v>0.95190476190476181</v>
      </c>
      <c r="M353" t="str">
        <f t="shared" si="16"/>
        <v>Wednesday</v>
      </c>
      <c r="N353" t="str">
        <f t="shared" si="17"/>
        <v>Low</v>
      </c>
    </row>
    <row r="354" spans="1:14" x14ac:dyDescent="0.35">
      <c r="A354">
        <v>1485359576</v>
      </c>
      <c r="B354" s="1">
        <v>42760</v>
      </c>
      <c r="C354" t="s">
        <v>11</v>
      </c>
      <c r="D354" t="s">
        <v>20</v>
      </c>
      <c r="E354" t="s">
        <v>89</v>
      </c>
      <c r="F354" t="s">
        <v>12</v>
      </c>
      <c r="G354" t="s">
        <v>91</v>
      </c>
      <c r="H354" s="2">
        <v>26</v>
      </c>
      <c r="I354" s="2">
        <v>1</v>
      </c>
      <c r="J354" s="3">
        <v>20.49</v>
      </c>
      <c r="K354" t="s">
        <v>13</v>
      </c>
      <c r="L354" s="3">
        <f t="shared" si="15"/>
        <v>0.78807692307692301</v>
      </c>
      <c r="M354" t="str">
        <f t="shared" si="16"/>
        <v>Wednesday</v>
      </c>
      <c r="N354" t="str">
        <f t="shared" si="17"/>
        <v>Medium</v>
      </c>
    </row>
    <row r="355" spans="1:14" x14ac:dyDescent="0.35">
      <c r="A355">
        <v>1495697107</v>
      </c>
      <c r="B355" s="1">
        <v>42880</v>
      </c>
      <c r="C355" t="s">
        <v>11</v>
      </c>
      <c r="D355" t="s">
        <v>87</v>
      </c>
      <c r="E355" t="s">
        <v>89</v>
      </c>
      <c r="F355" t="s">
        <v>12</v>
      </c>
      <c r="G355" t="s">
        <v>91</v>
      </c>
      <c r="H355" s="2">
        <v>28</v>
      </c>
      <c r="I355" s="2">
        <v>1</v>
      </c>
      <c r="J355" s="3">
        <v>20.49</v>
      </c>
      <c r="K355" t="s">
        <v>13</v>
      </c>
      <c r="L355" s="3">
        <f t="shared" si="15"/>
        <v>0.73178571428571426</v>
      </c>
      <c r="M355" t="str">
        <f t="shared" si="16"/>
        <v>Thursday</v>
      </c>
      <c r="N355" t="str">
        <f t="shared" si="17"/>
        <v>Medium</v>
      </c>
    </row>
    <row r="356" spans="1:14" x14ac:dyDescent="0.35">
      <c r="A356">
        <v>1471661138</v>
      </c>
      <c r="B356" s="1">
        <v>42601</v>
      </c>
      <c r="C356" t="s">
        <v>11</v>
      </c>
      <c r="D356" t="s">
        <v>31</v>
      </c>
      <c r="E356" t="s">
        <v>89</v>
      </c>
      <c r="F356" t="s">
        <v>12</v>
      </c>
      <c r="G356" t="s">
        <v>90</v>
      </c>
      <c r="H356" s="2">
        <v>17</v>
      </c>
      <c r="I356" s="2">
        <v>1</v>
      </c>
      <c r="J356" s="3">
        <v>20.62</v>
      </c>
      <c r="K356" t="s">
        <v>13</v>
      </c>
      <c r="L356" s="3">
        <f t="shared" si="15"/>
        <v>1.2129411764705882</v>
      </c>
      <c r="M356" t="str">
        <f t="shared" si="16"/>
        <v>Friday</v>
      </c>
      <c r="N356" t="str">
        <f t="shared" si="17"/>
        <v>Medium</v>
      </c>
    </row>
    <row r="357" spans="1:14" x14ac:dyDescent="0.35">
      <c r="A357">
        <v>1474231165</v>
      </c>
      <c r="B357" s="1">
        <v>42631</v>
      </c>
      <c r="C357" t="s">
        <v>11</v>
      </c>
      <c r="D357" t="s">
        <v>87</v>
      </c>
      <c r="E357" t="s">
        <v>89</v>
      </c>
      <c r="F357" t="s">
        <v>12</v>
      </c>
      <c r="G357" t="s">
        <v>90</v>
      </c>
      <c r="H357" s="2">
        <v>45</v>
      </c>
      <c r="I357" s="2">
        <v>1</v>
      </c>
      <c r="J357" s="3">
        <v>20.97</v>
      </c>
      <c r="K357" t="s">
        <v>13</v>
      </c>
      <c r="L357" s="3">
        <f t="shared" si="15"/>
        <v>0.46599999999999997</v>
      </c>
      <c r="M357" t="str">
        <f t="shared" si="16"/>
        <v>Sunday</v>
      </c>
      <c r="N357" t="str">
        <f t="shared" si="17"/>
        <v>Medium</v>
      </c>
    </row>
    <row r="358" spans="1:14" x14ac:dyDescent="0.35">
      <c r="A358">
        <v>1500871732</v>
      </c>
      <c r="B358" s="1">
        <v>42939</v>
      </c>
      <c r="C358" t="s">
        <v>11</v>
      </c>
      <c r="D358" t="s">
        <v>87</v>
      </c>
      <c r="E358" t="s">
        <v>89</v>
      </c>
      <c r="F358" t="s">
        <v>16</v>
      </c>
      <c r="G358" t="s">
        <v>91</v>
      </c>
      <c r="H358" s="2">
        <v>19</v>
      </c>
      <c r="I358" s="2">
        <v>1</v>
      </c>
      <c r="J358" s="3">
        <v>20.99</v>
      </c>
      <c r="K358" t="s">
        <v>13</v>
      </c>
      <c r="L358" s="3">
        <f t="shared" si="15"/>
        <v>1.104736842105263</v>
      </c>
      <c r="M358" t="str">
        <f t="shared" si="16"/>
        <v>Sunday</v>
      </c>
      <c r="N358" t="str">
        <f t="shared" si="17"/>
        <v>Medium</v>
      </c>
    </row>
    <row r="359" spans="1:14" x14ac:dyDescent="0.35">
      <c r="A359">
        <v>1497207228</v>
      </c>
      <c r="B359" s="1">
        <v>42897</v>
      </c>
      <c r="C359" t="s">
        <v>11</v>
      </c>
      <c r="D359" t="s">
        <v>56</v>
      </c>
      <c r="E359" t="s">
        <v>89</v>
      </c>
      <c r="F359" t="s">
        <v>16</v>
      </c>
      <c r="G359" t="s">
        <v>91</v>
      </c>
      <c r="H359" s="2">
        <v>16</v>
      </c>
      <c r="I359" s="2">
        <v>1</v>
      </c>
      <c r="J359" s="3">
        <v>20.99</v>
      </c>
      <c r="K359" t="s">
        <v>13</v>
      </c>
      <c r="L359" s="3">
        <f t="shared" si="15"/>
        <v>1.3118749999999999</v>
      </c>
      <c r="M359" t="str">
        <f t="shared" si="16"/>
        <v>Sunday</v>
      </c>
      <c r="N359" t="str">
        <f t="shared" si="17"/>
        <v>Medium</v>
      </c>
    </row>
    <row r="360" spans="1:14" x14ac:dyDescent="0.35">
      <c r="A360">
        <v>1474141892</v>
      </c>
      <c r="B360" s="1">
        <v>42630</v>
      </c>
      <c r="C360" t="s">
        <v>11</v>
      </c>
      <c r="D360" t="s">
        <v>87</v>
      </c>
      <c r="E360" t="s">
        <v>89</v>
      </c>
      <c r="F360" t="s">
        <v>16</v>
      </c>
      <c r="G360" t="s">
        <v>90</v>
      </c>
      <c r="H360" s="2">
        <v>29</v>
      </c>
      <c r="I360" s="2">
        <v>1</v>
      </c>
      <c r="J360" s="3">
        <v>21</v>
      </c>
      <c r="K360" t="s">
        <v>13</v>
      </c>
      <c r="L360" s="3">
        <f t="shared" si="15"/>
        <v>0.72413793103448276</v>
      </c>
      <c r="M360" t="str">
        <f t="shared" si="16"/>
        <v>Saturday</v>
      </c>
      <c r="N360" t="str">
        <f t="shared" si="17"/>
        <v>Medium</v>
      </c>
    </row>
    <row r="361" spans="1:14" x14ac:dyDescent="0.35">
      <c r="A361">
        <v>1494178716</v>
      </c>
      <c r="B361" s="1">
        <v>42862</v>
      </c>
      <c r="C361" t="s">
        <v>11</v>
      </c>
      <c r="D361" t="s">
        <v>87</v>
      </c>
      <c r="E361" t="s">
        <v>89</v>
      </c>
      <c r="F361" t="s">
        <v>12</v>
      </c>
      <c r="G361" t="s">
        <v>90</v>
      </c>
      <c r="H361" s="2">
        <v>27</v>
      </c>
      <c r="I361" s="2">
        <v>1</v>
      </c>
      <c r="J361" s="3">
        <v>21.27</v>
      </c>
      <c r="K361" t="s">
        <v>13</v>
      </c>
      <c r="L361" s="3">
        <f t="shared" si="15"/>
        <v>0.7877777777777778</v>
      </c>
      <c r="M361" t="str">
        <f t="shared" si="16"/>
        <v>Sunday</v>
      </c>
      <c r="N361" t="str">
        <f t="shared" si="17"/>
        <v>Medium</v>
      </c>
    </row>
    <row r="362" spans="1:14" x14ac:dyDescent="0.35">
      <c r="A362">
        <v>1500985147</v>
      </c>
      <c r="B362" s="1">
        <v>42941</v>
      </c>
      <c r="C362" t="s">
        <v>11</v>
      </c>
      <c r="D362" t="s">
        <v>87</v>
      </c>
      <c r="E362" t="s">
        <v>89</v>
      </c>
      <c r="F362" t="s">
        <v>16</v>
      </c>
      <c r="G362" t="s">
        <v>90</v>
      </c>
      <c r="H362" s="2">
        <v>14</v>
      </c>
      <c r="I362" s="2">
        <v>1</v>
      </c>
      <c r="J362" s="3">
        <v>21.3</v>
      </c>
      <c r="K362" t="s">
        <v>13</v>
      </c>
      <c r="L362" s="3">
        <f t="shared" si="15"/>
        <v>1.5214285714285716</v>
      </c>
      <c r="M362" t="str">
        <f t="shared" si="16"/>
        <v>Tuesday</v>
      </c>
      <c r="N362" t="str">
        <f t="shared" si="17"/>
        <v>Medium</v>
      </c>
    </row>
    <row r="363" spans="1:14" x14ac:dyDescent="0.35">
      <c r="A363">
        <v>1488850890</v>
      </c>
      <c r="B363" s="1">
        <v>42800</v>
      </c>
      <c r="C363" t="s">
        <v>11</v>
      </c>
      <c r="D363" t="s">
        <v>87</v>
      </c>
      <c r="E363" t="s">
        <v>89</v>
      </c>
      <c r="F363" t="s">
        <v>16</v>
      </c>
      <c r="G363" t="s">
        <v>90</v>
      </c>
      <c r="H363" s="2">
        <v>28</v>
      </c>
      <c r="I363" s="2">
        <v>1</v>
      </c>
      <c r="J363" s="3">
        <v>21.46</v>
      </c>
      <c r="K363" t="s">
        <v>13</v>
      </c>
      <c r="L363" s="3">
        <f t="shared" si="15"/>
        <v>0.76642857142857146</v>
      </c>
      <c r="M363" t="str">
        <f t="shared" si="16"/>
        <v>Monday</v>
      </c>
      <c r="N363" t="str">
        <f t="shared" si="17"/>
        <v>Medium</v>
      </c>
    </row>
    <row r="364" spans="1:14" x14ac:dyDescent="0.35">
      <c r="A364">
        <v>1474509169</v>
      </c>
      <c r="B364" s="1">
        <v>42634</v>
      </c>
      <c r="C364" t="s">
        <v>11</v>
      </c>
      <c r="D364" t="s">
        <v>87</v>
      </c>
      <c r="E364" t="s">
        <v>89</v>
      </c>
      <c r="F364" t="s">
        <v>12</v>
      </c>
      <c r="G364" t="s">
        <v>91</v>
      </c>
      <c r="H364" s="2">
        <v>17</v>
      </c>
      <c r="I364" s="2">
        <v>1</v>
      </c>
      <c r="J364" s="3">
        <v>21.98</v>
      </c>
      <c r="K364" t="s">
        <v>13</v>
      </c>
      <c r="L364" s="3">
        <f t="shared" si="15"/>
        <v>1.2929411764705883</v>
      </c>
      <c r="M364" t="str">
        <f t="shared" si="16"/>
        <v>Wednesday</v>
      </c>
      <c r="N364" t="str">
        <f t="shared" si="17"/>
        <v>Medium</v>
      </c>
    </row>
    <row r="365" spans="1:14" x14ac:dyDescent="0.35">
      <c r="A365">
        <v>1489296576</v>
      </c>
      <c r="B365" s="1">
        <v>42805</v>
      </c>
      <c r="C365" t="s">
        <v>11</v>
      </c>
      <c r="D365" t="s">
        <v>87</v>
      </c>
      <c r="E365" t="s">
        <v>89</v>
      </c>
      <c r="F365" t="s">
        <v>16</v>
      </c>
      <c r="G365" t="s">
        <v>90</v>
      </c>
      <c r="H365" s="2">
        <v>23</v>
      </c>
      <c r="I365" s="2">
        <v>1</v>
      </c>
      <c r="J365" s="3">
        <v>21.98</v>
      </c>
      <c r="K365" t="s">
        <v>13</v>
      </c>
      <c r="L365" s="3">
        <f t="shared" si="15"/>
        <v>0.95565217391304347</v>
      </c>
      <c r="M365" t="str">
        <f t="shared" si="16"/>
        <v>Saturday</v>
      </c>
      <c r="N365" t="str">
        <f t="shared" si="17"/>
        <v>Medium</v>
      </c>
    </row>
    <row r="366" spans="1:14" x14ac:dyDescent="0.35">
      <c r="A366">
        <v>1486831130</v>
      </c>
      <c r="B366" s="1">
        <v>42777</v>
      </c>
      <c r="C366" t="s">
        <v>40</v>
      </c>
      <c r="D366" t="s">
        <v>87</v>
      </c>
      <c r="E366" t="s">
        <v>89</v>
      </c>
      <c r="F366" t="s">
        <v>12</v>
      </c>
      <c r="G366" t="s">
        <v>91</v>
      </c>
      <c r="H366" s="2">
        <v>23</v>
      </c>
      <c r="I366" s="2">
        <v>1</v>
      </c>
      <c r="J366" s="3">
        <v>21.98</v>
      </c>
      <c r="K366" t="s">
        <v>13</v>
      </c>
      <c r="L366" s="3">
        <f t="shared" si="15"/>
        <v>0.95565217391304347</v>
      </c>
      <c r="M366" t="str">
        <f t="shared" si="16"/>
        <v>Saturday</v>
      </c>
      <c r="N366" t="str">
        <f t="shared" si="17"/>
        <v>Medium</v>
      </c>
    </row>
    <row r="367" spans="1:14" x14ac:dyDescent="0.35">
      <c r="A367">
        <v>1498334767</v>
      </c>
      <c r="B367" s="1">
        <v>42910</v>
      </c>
      <c r="C367" t="s">
        <v>11</v>
      </c>
      <c r="D367" t="s">
        <v>87</v>
      </c>
      <c r="E367" t="s">
        <v>89</v>
      </c>
      <c r="F367" t="s">
        <v>12</v>
      </c>
      <c r="G367" t="s">
        <v>91</v>
      </c>
      <c r="H367" s="2">
        <v>21</v>
      </c>
      <c r="I367" s="2">
        <v>1</v>
      </c>
      <c r="J367" s="3">
        <v>21.98</v>
      </c>
      <c r="K367" t="s">
        <v>13</v>
      </c>
      <c r="L367" s="3">
        <f t="shared" si="15"/>
        <v>1.0466666666666666</v>
      </c>
      <c r="M367" t="str">
        <f t="shared" si="16"/>
        <v>Saturday</v>
      </c>
      <c r="N367" t="str">
        <f t="shared" si="17"/>
        <v>Medium</v>
      </c>
    </row>
    <row r="368" spans="1:14" x14ac:dyDescent="0.35">
      <c r="A368">
        <v>1475960255</v>
      </c>
      <c r="B368" s="1">
        <v>42651</v>
      </c>
      <c r="C368" t="s">
        <v>11</v>
      </c>
      <c r="D368" t="s">
        <v>87</v>
      </c>
      <c r="E368" t="s">
        <v>89</v>
      </c>
      <c r="F368" t="s">
        <v>12</v>
      </c>
      <c r="G368" t="s">
        <v>91</v>
      </c>
      <c r="H368" s="2">
        <v>47</v>
      </c>
      <c r="I368" s="2">
        <v>1</v>
      </c>
      <c r="J368" s="3">
        <v>21.98</v>
      </c>
      <c r="K368" t="s">
        <v>13</v>
      </c>
      <c r="L368" s="3">
        <f t="shared" si="15"/>
        <v>0.46765957446808509</v>
      </c>
      <c r="M368" t="str">
        <f t="shared" si="16"/>
        <v>Saturday</v>
      </c>
      <c r="N368" t="str">
        <f t="shared" si="17"/>
        <v>Medium</v>
      </c>
    </row>
    <row r="369" spans="1:14" x14ac:dyDescent="0.35">
      <c r="A369">
        <v>1486398057</v>
      </c>
      <c r="B369" s="1">
        <v>42772</v>
      </c>
      <c r="C369" t="s">
        <v>11</v>
      </c>
      <c r="D369" t="s">
        <v>87</v>
      </c>
      <c r="E369" t="s">
        <v>89</v>
      </c>
      <c r="F369" t="s">
        <v>16</v>
      </c>
      <c r="G369" t="s">
        <v>91</v>
      </c>
      <c r="H369" s="2">
        <v>24</v>
      </c>
      <c r="I369" s="2">
        <v>1</v>
      </c>
      <c r="J369" s="3">
        <v>21.98</v>
      </c>
      <c r="K369" t="s">
        <v>13</v>
      </c>
      <c r="L369" s="3">
        <f t="shared" si="15"/>
        <v>0.91583333333333339</v>
      </c>
      <c r="M369" t="str">
        <f t="shared" si="16"/>
        <v>Monday</v>
      </c>
      <c r="N369" t="str">
        <f t="shared" si="17"/>
        <v>Medium</v>
      </c>
    </row>
    <row r="370" spans="1:14" x14ac:dyDescent="0.35">
      <c r="A370">
        <v>1490904672</v>
      </c>
      <c r="B370" s="1">
        <v>42824</v>
      </c>
      <c r="C370" t="s">
        <v>11</v>
      </c>
      <c r="D370" t="s">
        <v>15</v>
      </c>
      <c r="E370" t="s">
        <v>89</v>
      </c>
      <c r="F370" t="s">
        <v>16</v>
      </c>
      <c r="G370" t="s">
        <v>91</v>
      </c>
      <c r="H370" s="2">
        <v>10</v>
      </c>
      <c r="I370" s="2">
        <v>1</v>
      </c>
      <c r="J370" s="3">
        <v>21.98</v>
      </c>
      <c r="K370" t="s">
        <v>13</v>
      </c>
      <c r="L370" s="3">
        <f t="shared" si="15"/>
        <v>2.198</v>
      </c>
      <c r="M370" t="str">
        <f t="shared" si="16"/>
        <v>Thursday</v>
      </c>
      <c r="N370" t="str">
        <f t="shared" si="17"/>
        <v>Medium</v>
      </c>
    </row>
    <row r="371" spans="1:14" x14ac:dyDescent="0.35">
      <c r="A371">
        <v>1484010104</v>
      </c>
      <c r="B371" s="1">
        <v>42744</v>
      </c>
      <c r="C371" t="s">
        <v>11</v>
      </c>
      <c r="D371" t="s">
        <v>87</v>
      </c>
      <c r="E371" t="s">
        <v>89</v>
      </c>
      <c r="F371" t="s">
        <v>12</v>
      </c>
      <c r="G371" t="s">
        <v>91</v>
      </c>
      <c r="H371" s="2">
        <v>31</v>
      </c>
      <c r="I371" s="2">
        <v>1</v>
      </c>
      <c r="J371" s="3">
        <v>21.98</v>
      </c>
      <c r="K371" t="s">
        <v>13</v>
      </c>
      <c r="L371" s="3">
        <f t="shared" si="15"/>
        <v>0.7090322580645162</v>
      </c>
      <c r="M371" t="str">
        <f t="shared" si="16"/>
        <v>Monday</v>
      </c>
      <c r="N371" t="str">
        <f t="shared" si="17"/>
        <v>Medium</v>
      </c>
    </row>
    <row r="372" spans="1:14" x14ac:dyDescent="0.35">
      <c r="A372">
        <v>1497216260</v>
      </c>
      <c r="B372" s="1">
        <v>42897</v>
      </c>
      <c r="C372" t="s">
        <v>11</v>
      </c>
      <c r="D372" t="s">
        <v>87</v>
      </c>
      <c r="E372" t="s">
        <v>89</v>
      </c>
      <c r="F372" t="s">
        <v>12</v>
      </c>
      <c r="G372" t="s">
        <v>91</v>
      </c>
      <c r="H372" s="2">
        <v>16</v>
      </c>
      <c r="I372" s="2">
        <v>1</v>
      </c>
      <c r="J372" s="3">
        <v>21.99</v>
      </c>
      <c r="K372" t="s">
        <v>13</v>
      </c>
      <c r="L372" s="3">
        <f t="shared" si="15"/>
        <v>1.3743749999999999</v>
      </c>
      <c r="M372" t="str">
        <f t="shared" si="16"/>
        <v>Sunday</v>
      </c>
      <c r="N372" t="str">
        <f t="shared" si="17"/>
        <v>Medium</v>
      </c>
    </row>
    <row r="373" spans="1:14" x14ac:dyDescent="0.35">
      <c r="A373">
        <v>1484027155</v>
      </c>
      <c r="B373" s="1">
        <v>42744</v>
      </c>
      <c r="C373" t="s">
        <v>11</v>
      </c>
      <c r="D373" t="s">
        <v>87</v>
      </c>
      <c r="E373" t="s">
        <v>89</v>
      </c>
      <c r="F373" t="s">
        <v>16</v>
      </c>
      <c r="G373" t="s">
        <v>91</v>
      </c>
      <c r="H373" s="2">
        <v>24</v>
      </c>
      <c r="I373" s="2">
        <v>1</v>
      </c>
      <c r="J373" s="3">
        <v>21.99</v>
      </c>
      <c r="K373" t="s">
        <v>13</v>
      </c>
      <c r="L373" s="3">
        <f t="shared" si="15"/>
        <v>0.9162499999999999</v>
      </c>
      <c r="M373" t="str">
        <f t="shared" si="16"/>
        <v>Monday</v>
      </c>
      <c r="N373" t="str">
        <f t="shared" si="17"/>
        <v>Medium</v>
      </c>
    </row>
    <row r="374" spans="1:14" x14ac:dyDescent="0.35">
      <c r="A374">
        <v>1481336196</v>
      </c>
      <c r="B374" s="1">
        <v>42713</v>
      </c>
      <c r="C374" t="s">
        <v>11</v>
      </c>
      <c r="D374" t="s">
        <v>87</v>
      </c>
      <c r="E374" t="s">
        <v>89</v>
      </c>
      <c r="F374" t="s">
        <v>12</v>
      </c>
      <c r="G374" t="s">
        <v>91</v>
      </c>
      <c r="H374" s="2">
        <v>15</v>
      </c>
      <c r="I374" s="2">
        <v>1</v>
      </c>
      <c r="J374" s="3">
        <v>21.99</v>
      </c>
      <c r="K374" t="s">
        <v>13</v>
      </c>
      <c r="L374" s="3">
        <f t="shared" si="15"/>
        <v>1.466</v>
      </c>
      <c r="M374" t="str">
        <f t="shared" si="16"/>
        <v>Friday</v>
      </c>
      <c r="N374" t="str">
        <f t="shared" si="17"/>
        <v>Medium</v>
      </c>
    </row>
    <row r="375" spans="1:14" x14ac:dyDescent="0.35">
      <c r="A375">
        <v>1475860607</v>
      </c>
      <c r="B375" s="1">
        <v>42650</v>
      </c>
      <c r="C375" t="s">
        <v>11</v>
      </c>
      <c r="D375" t="s">
        <v>14</v>
      </c>
      <c r="E375" t="s">
        <v>89</v>
      </c>
      <c r="F375" t="s">
        <v>16</v>
      </c>
      <c r="G375" t="s">
        <v>91</v>
      </c>
      <c r="H375" s="2">
        <v>18</v>
      </c>
      <c r="I375" s="2">
        <v>1</v>
      </c>
      <c r="J375" s="3">
        <v>21.99</v>
      </c>
      <c r="K375" t="s">
        <v>13</v>
      </c>
      <c r="L375" s="3">
        <f t="shared" si="15"/>
        <v>1.2216666666666667</v>
      </c>
      <c r="M375" t="str">
        <f t="shared" si="16"/>
        <v>Friday</v>
      </c>
      <c r="N375" t="str">
        <f t="shared" si="17"/>
        <v>Medium</v>
      </c>
    </row>
    <row r="376" spans="1:14" x14ac:dyDescent="0.35">
      <c r="A376">
        <v>1495162183</v>
      </c>
      <c r="B376" s="1">
        <v>42873</v>
      </c>
      <c r="C376" t="s">
        <v>11</v>
      </c>
      <c r="D376" t="s">
        <v>15</v>
      </c>
      <c r="E376" t="s">
        <v>89</v>
      </c>
      <c r="F376" t="s">
        <v>12</v>
      </c>
      <c r="G376" t="s">
        <v>90</v>
      </c>
      <c r="H376" s="2">
        <v>15</v>
      </c>
      <c r="I376" s="2">
        <v>1</v>
      </c>
      <c r="J376" s="3">
        <v>21.99</v>
      </c>
      <c r="K376" t="s">
        <v>13</v>
      </c>
      <c r="L376" s="3">
        <f t="shared" si="15"/>
        <v>1.466</v>
      </c>
      <c r="M376" t="str">
        <f t="shared" si="16"/>
        <v>Thursday</v>
      </c>
      <c r="N376" t="str">
        <f t="shared" si="17"/>
        <v>Medium</v>
      </c>
    </row>
    <row r="377" spans="1:14" x14ac:dyDescent="0.35">
      <c r="A377">
        <v>1474776589</v>
      </c>
      <c r="B377" s="1">
        <v>42637</v>
      </c>
      <c r="C377" t="s">
        <v>11</v>
      </c>
      <c r="D377" t="s">
        <v>87</v>
      </c>
      <c r="E377" t="s">
        <v>89</v>
      </c>
      <c r="F377" t="s">
        <v>16</v>
      </c>
      <c r="G377" t="s">
        <v>91</v>
      </c>
      <c r="H377" s="2">
        <v>17</v>
      </c>
      <c r="I377" s="2">
        <v>1</v>
      </c>
      <c r="J377" s="3">
        <v>21.99</v>
      </c>
      <c r="K377" t="s">
        <v>13</v>
      </c>
      <c r="L377" s="3">
        <f t="shared" si="15"/>
        <v>1.2935294117647058</v>
      </c>
      <c r="M377" t="str">
        <f t="shared" si="16"/>
        <v>Saturday</v>
      </c>
      <c r="N377" t="str">
        <f t="shared" si="17"/>
        <v>Medium</v>
      </c>
    </row>
    <row r="378" spans="1:14" x14ac:dyDescent="0.35">
      <c r="A378">
        <v>1493056268</v>
      </c>
      <c r="B378" s="1">
        <v>42849</v>
      </c>
      <c r="C378" t="s">
        <v>11</v>
      </c>
      <c r="D378" t="s">
        <v>87</v>
      </c>
      <c r="E378" t="s">
        <v>89</v>
      </c>
      <c r="F378" t="s">
        <v>16</v>
      </c>
      <c r="G378" t="s">
        <v>90</v>
      </c>
      <c r="H378" s="2">
        <v>22</v>
      </c>
      <c r="I378" s="2">
        <v>1</v>
      </c>
      <c r="J378" s="3">
        <v>21.99</v>
      </c>
      <c r="K378" t="s">
        <v>13</v>
      </c>
      <c r="L378" s="3">
        <f t="shared" si="15"/>
        <v>0.99954545454545451</v>
      </c>
      <c r="M378" t="str">
        <f t="shared" si="16"/>
        <v>Monday</v>
      </c>
      <c r="N378" t="str">
        <f t="shared" si="17"/>
        <v>Medium</v>
      </c>
    </row>
    <row r="379" spans="1:14" x14ac:dyDescent="0.35">
      <c r="A379">
        <v>1491557292</v>
      </c>
      <c r="B379" s="1">
        <v>42832</v>
      </c>
      <c r="C379" t="s">
        <v>50</v>
      </c>
      <c r="D379" t="s">
        <v>87</v>
      </c>
      <c r="E379" t="s">
        <v>89</v>
      </c>
      <c r="F379" t="s">
        <v>16</v>
      </c>
      <c r="G379" t="s">
        <v>90</v>
      </c>
      <c r="H379" s="2">
        <v>15</v>
      </c>
      <c r="I379" s="2">
        <v>1</v>
      </c>
      <c r="J379" s="3">
        <v>21.99</v>
      </c>
      <c r="K379" t="s">
        <v>13</v>
      </c>
      <c r="L379" s="3">
        <f t="shared" si="15"/>
        <v>1.466</v>
      </c>
      <c r="M379" t="str">
        <f t="shared" si="16"/>
        <v>Friday</v>
      </c>
      <c r="N379" t="str">
        <f t="shared" si="17"/>
        <v>Medium</v>
      </c>
    </row>
    <row r="380" spans="1:14" x14ac:dyDescent="0.35">
      <c r="A380">
        <v>1476711020</v>
      </c>
      <c r="B380" s="1">
        <v>42660</v>
      </c>
      <c r="C380" t="s">
        <v>11</v>
      </c>
      <c r="D380" t="s">
        <v>57</v>
      </c>
      <c r="E380" t="s">
        <v>89</v>
      </c>
      <c r="F380" t="s">
        <v>12</v>
      </c>
      <c r="G380" t="s">
        <v>91</v>
      </c>
      <c r="H380" s="2">
        <v>11</v>
      </c>
      <c r="I380" s="2">
        <v>1</v>
      </c>
      <c r="J380" s="3">
        <v>22.48</v>
      </c>
      <c r="K380" t="s">
        <v>13</v>
      </c>
      <c r="L380" s="3">
        <f t="shared" si="15"/>
        <v>2.0436363636363635</v>
      </c>
      <c r="M380" t="str">
        <f t="shared" si="16"/>
        <v>Monday</v>
      </c>
      <c r="N380" t="str">
        <f t="shared" si="17"/>
        <v>Medium</v>
      </c>
    </row>
    <row r="381" spans="1:14" x14ac:dyDescent="0.35">
      <c r="A381">
        <v>1480620348</v>
      </c>
      <c r="B381" s="1">
        <v>42705</v>
      </c>
      <c r="C381" t="s">
        <v>11</v>
      </c>
      <c r="D381" t="s">
        <v>87</v>
      </c>
      <c r="E381" t="s">
        <v>89</v>
      </c>
      <c r="F381" t="s">
        <v>16</v>
      </c>
      <c r="G381" t="s">
        <v>91</v>
      </c>
      <c r="H381" s="2">
        <v>17</v>
      </c>
      <c r="I381" s="2">
        <v>1</v>
      </c>
      <c r="J381" s="3">
        <v>22.73</v>
      </c>
      <c r="K381" t="s">
        <v>13</v>
      </c>
      <c r="L381" s="3">
        <f t="shared" si="15"/>
        <v>1.3370588235294119</v>
      </c>
      <c r="M381" t="str">
        <f t="shared" si="16"/>
        <v>Thursday</v>
      </c>
      <c r="N381" t="str">
        <f t="shared" si="17"/>
        <v>Medium</v>
      </c>
    </row>
    <row r="382" spans="1:14" x14ac:dyDescent="0.35">
      <c r="A382">
        <v>1485562664</v>
      </c>
      <c r="B382" s="1">
        <v>42762</v>
      </c>
      <c r="C382" t="s">
        <v>11</v>
      </c>
      <c r="D382" t="s">
        <v>87</v>
      </c>
      <c r="E382" t="s">
        <v>89</v>
      </c>
      <c r="F382" t="s">
        <v>16</v>
      </c>
      <c r="G382" t="s">
        <v>91</v>
      </c>
      <c r="H382" s="2">
        <v>38</v>
      </c>
      <c r="I382" s="2">
        <v>1</v>
      </c>
      <c r="J382" s="3">
        <v>22.88</v>
      </c>
      <c r="K382" t="s">
        <v>13</v>
      </c>
      <c r="L382" s="3">
        <f t="shared" si="15"/>
        <v>0.6021052631578947</v>
      </c>
      <c r="M382" t="str">
        <f t="shared" si="16"/>
        <v>Friday</v>
      </c>
      <c r="N382" t="str">
        <f t="shared" si="17"/>
        <v>Medium</v>
      </c>
    </row>
    <row r="383" spans="1:14" x14ac:dyDescent="0.35">
      <c r="A383">
        <v>1498063761</v>
      </c>
      <c r="B383" s="1">
        <v>42907</v>
      </c>
      <c r="C383" t="s">
        <v>11</v>
      </c>
      <c r="D383" t="s">
        <v>87</v>
      </c>
      <c r="E383" t="s">
        <v>89</v>
      </c>
      <c r="F383" t="s">
        <v>12</v>
      </c>
      <c r="G383" t="s">
        <v>91</v>
      </c>
      <c r="H383" s="2">
        <v>39</v>
      </c>
      <c r="I383" s="2">
        <v>1</v>
      </c>
      <c r="J383" s="3">
        <v>22.95</v>
      </c>
      <c r="K383" t="s">
        <v>13</v>
      </c>
      <c r="L383" s="3">
        <f t="shared" si="15"/>
        <v>0.58846153846153848</v>
      </c>
      <c r="M383" t="str">
        <f t="shared" si="16"/>
        <v>Wednesday</v>
      </c>
      <c r="N383" t="str">
        <f t="shared" si="17"/>
        <v>Medium</v>
      </c>
    </row>
    <row r="384" spans="1:14" x14ac:dyDescent="0.35">
      <c r="A384">
        <v>1483736730</v>
      </c>
      <c r="B384" s="1">
        <v>42741</v>
      </c>
      <c r="C384" t="s">
        <v>11</v>
      </c>
      <c r="D384" t="s">
        <v>18</v>
      </c>
      <c r="E384" t="s">
        <v>89</v>
      </c>
      <c r="F384" t="s">
        <v>16</v>
      </c>
      <c r="G384" t="s">
        <v>91</v>
      </c>
      <c r="H384" s="2">
        <v>30</v>
      </c>
      <c r="I384" s="2">
        <v>1</v>
      </c>
      <c r="J384" s="3">
        <v>22.97</v>
      </c>
      <c r="K384" t="s">
        <v>13</v>
      </c>
      <c r="L384" s="3">
        <f t="shared" si="15"/>
        <v>0.76566666666666661</v>
      </c>
      <c r="M384" t="str">
        <f t="shared" si="16"/>
        <v>Friday</v>
      </c>
      <c r="N384" t="str">
        <f t="shared" si="17"/>
        <v>Medium</v>
      </c>
    </row>
    <row r="385" spans="1:14" x14ac:dyDescent="0.35">
      <c r="A385">
        <v>1488740449</v>
      </c>
      <c r="B385" s="1">
        <v>42799</v>
      </c>
      <c r="C385" t="s">
        <v>11</v>
      </c>
      <c r="D385" t="s">
        <v>14</v>
      </c>
      <c r="E385" t="s">
        <v>89</v>
      </c>
      <c r="F385" t="s">
        <v>12</v>
      </c>
      <c r="G385" t="s">
        <v>90</v>
      </c>
      <c r="H385" s="2">
        <v>33</v>
      </c>
      <c r="I385" s="2">
        <v>1</v>
      </c>
      <c r="J385" s="3">
        <v>22.99</v>
      </c>
      <c r="K385" t="s">
        <v>13</v>
      </c>
      <c r="L385" s="3">
        <f t="shared" si="15"/>
        <v>0.69666666666666666</v>
      </c>
      <c r="M385" t="str">
        <f t="shared" si="16"/>
        <v>Sunday</v>
      </c>
      <c r="N385" t="str">
        <f t="shared" si="17"/>
        <v>Medium</v>
      </c>
    </row>
    <row r="386" spans="1:14" x14ac:dyDescent="0.35">
      <c r="A386">
        <v>1490738815</v>
      </c>
      <c r="B386" s="1">
        <v>42822</v>
      </c>
      <c r="C386" t="s">
        <v>11</v>
      </c>
      <c r="D386" t="s">
        <v>87</v>
      </c>
      <c r="E386" t="s">
        <v>89</v>
      </c>
      <c r="F386" t="s">
        <v>16</v>
      </c>
      <c r="G386" t="s">
        <v>90</v>
      </c>
      <c r="H386" s="2">
        <v>14</v>
      </c>
      <c r="I386" s="2">
        <v>1</v>
      </c>
      <c r="J386" s="3">
        <v>22.99</v>
      </c>
      <c r="K386" t="s">
        <v>13</v>
      </c>
      <c r="L386" s="3">
        <f t="shared" si="15"/>
        <v>1.6421428571428571</v>
      </c>
      <c r="M386" t="str">
        <f t="shared" si="16"/>
        <v>Tuesday</v>
      </c>
      <c r="N386" t="str">
        <f t="shared" si="17"/>
        <v>Medium</v>
      </c>
    </row>
    <row r="387" spans="1:14" x14ac:dyDescent="0.35">
      <c r="A387">
        <v>1501351234</v>
      </c>
      <c r="B387" s="1">
        <v>42945</v>
      </c>
      <c r="C387" t="s">
        <v>11</v>
      </c>
      <c r="D387" t="s">
        <v>15</v>
      </c>
      <c r="E387" t="s">
        <v>89</v>
      </c>
      <c r="F387" t="s">
        <v>16</v>
      </c>
      <c r="G387" t="s">
        <v>90</v>
      </c>
      <c r="H387" s="2">
        <v>21</v>
      </c>
      <c r="I387" s="2">
        <v>1</v>
      </c>
      <c r="J387" s="3">
        <v>22.99</v>
      </c>
      <c r="K387" t="s">
        <v>13</v>
      </c>
      <c r="L387" s="3">
        <f t="shared" ref="L387:L450" si="18">J387/H387</f>
        <v>1.0947619047619046</v>
      </c>
      <c r="M387" t="str">
        <f t="shared" ref="M387:M450" si="19">TEXT(B387, "dddd")</f>
        <v>Saturday</v>
      </c>
      <c r="N387" t="str">
        <f t="shared" ref="N387:N450" si="20">IF(J387&gt;200,"High",IF(J387&gt;=20,"Medium","Low"))</f>
        <v>Medium</v>
      </c>
    </row>
    <row r="388" spans="1:14" x14ac:dyDescent="0.35">
      <c r="A388">
        <v>1500550722</v>
      </c>
      <c r="B388" s="1">
        <v>42936</v>
      </c>
      <c r="C388" t="s">
        <v>11</v>
      </c>
      <c r="D388" t="s">
        <v>25</v>
      </c>
      <c r="E388" t="s">
        <v>89</v>
      </c>
      <c r="F388" t="s">
        <v>12</v>
      </c>
      <c r="G388" t="s">
        <v>90</v>
      </c>
      <c r="H388" s="2">
        <v>31</v>
      </c>
      <c r="I388" s="2">
        <v>1</v>
      </c>
      <c r="J388" s="3">
        <v>23.1</v>
      </c>
      <c r="K388" t="s">
        <v>13</v>
      </c>
      <c r="L388" s="3">
        <f t="shared" si="18"/>
        <v>0.74516129032258072</v>
      </c>
      <c r="M388" t="str">
        <f t="shared" si="19"/>
        <v>Thursday</v>
      </c>
      <c r="N388" t="str">
        <f t="shared" si="20"/>
        <v>Medium</v>
      </c>
    </row>
    <row r="389" spans="1:14" x14ac:dyDescent="0.35">
      <c r="A389">
        <v>1500240200</v>
      </c>
      <c r="B389" s="1">
        <v>42932</v>
      </c>
      <c r="C389" t="s">
        <v>11</v>
      </c>
      <c r="D389" t="s">
        <v>87</v>
      </c>
      <c r="E389" t="s">
        <v>89</v>
      </c>
      <c r="F389" t="s">
        <v>12</v>
      </c>
      <c r="G389" t="s">
        <v>90</v>
      </c>
      <c r="H389" s="2">
        <v>22</v>
      </c>
      <c r="I389" s="2">
        <v>1</v>
      </c>
      <c r="J389" s="3">
        <v>23.2</v>
      </c>
      <c r="K389" t="s">
        <v>13</v>
      </c>
      <c r="L389" s="3">
        <f t="shared" si="18"/>
        <v>1.0545454545454545</v>
      </c>
      <c r="M389" t="str">
        <f t="shared" si="19"/>
        <v>Sunday</v>
      </c>
      <c r="N389" t="str">
        <f t="shared" si="20"/>
        <v>Medium</v>
      </c>
    </row>
    <row r="390" spans="1:14" x14ac:dyDescent="0.35">
      <c r="A390">
        <v>1470348830</v>
      </c>
      <c r="B390" s="1">
        <v>42586</v>
      </c>
      <c r="C390" t="s">
        <v>11</v>
      </c>
      <c r="D390" t="s">
        <v>87</v>
      </c>
      <c r="E390" t="s">
        <v>89</v>
      </c>
      <c r="F390" t="s">
        <v>12</v>
      </c>
      <c r="G390" t="s">
        <v>91</v>
      </c>
      <c r="H390" s="2">
        <v>27</v>
      </c>
      <c r="I390" s="2">
        <v>1</v>
      </c>
      <c r="J390" s="3">
        <v>23.47</v>
      </c>
      <c r="K390" t="s">
        <v>13</v>
      </c>
      <c r="L390" s="3">
        <f t="shared" si="18"/>
        <v>0.86925925925925918</v>
      </c>
      <c r="M390" t="str">
        <f t="shared" si="19"/>
        <v>Thursday</v>
      </c>
      <c r="N390" t="str">
        <f t="shared" si="20"/>
        <v>Medium</v>
      </c>
    </row>
    <row r="391" spans="1:14" x14ac:dyDescent="0.35">
      <c r="A391">
        <v>1473618683</v>
      </c>
      <c r="B391" s="1">
        <v>42624</v>
      </c>
      <c r="C391" t="s">
        <v>11</v>
      </c>
      <c r="D391" t="s">
        <v>87</v>
      </c>
      <c r="E391" t="s">
        <v>89</v>
      </c>
      <c r="F391" t="s">
        <v>12</v>
      </c>
      <c r="G391" t="s">
        <v>90</v>
      </c>
      <c r="H391" s="2">
        <v>15</v>
      </c>
      <c r="I391" s="2">
        <v>1</v>
      </c>
      <c r="J391" s="3">
        <v>23.49</v>
      </c>
      <c r="K391" t="s">
        <v>13</v>
      </c>
      <c r="L391" s="3">
        <f t="shared" si="18"/>
        <v>1.5659999999999998</v>
      </c>
      <c r="M391" t="str">
        <f t="shared" si="19"/>
        <v>Sunday</v>
      </c>
      <c r="N391" t="str">
        <f t="shared" si="20"/>
        <v>Medium</v>
      </c>
    </row>
    <row r="392" spans="1:14" x14ac:dyDescent="0.35">
      <c r="A392">
        <v>1493836069</v>
      </c>
      <c r="B392" s="1">
        <v>42858</v>
      </c>
      <c r="C392" t="s">
        <v>11</v>
      </c>
      <c r="D392" t="s">
        <v>87</v>
      </c>
      <c r="E392" t="s">
        <v>89</v>
      </c>
      <c r="F392" t="s">
        <v>16</v>
      </c>
      <c r="G392" t="s">
        <v>90</v>
      </c>
      <c r="H392" s="2">
        <v>18</v>
      </c>
      <c r="I392" s="2">
        <v>1</v>
      </c>
      <c r="J392" s="3">
        <v>23.84</v>
      </c>
      <c r="K392" t="s">
        <v>13</v>
      </c>
      <c r="L392" s="3">
        <f t="shared" si="18"/>
        <v>1.3244444444444445</v>
      </c>
      <c r="M392" t="str">
        <f t="shared" si="19"/>
        <v>Wednesday</v>
      </c>
      <c r="N392" t="str">
        <f t="shared" si="20"/>
        <v>Medium</v>
      </c>
    </row>
    <row r="393" spans="1:14" x14ac:dyDescent="0.35">
      <c r="A393">
        <v>1496549658</v>
      </c>
      <c r="B393" s="1">
        <v>42889</v>
      </c>
      <c r="C393" t="s">
        <v>11</v>
      </c>
      <c r="D393" t="s">
        <v>87</v>
      </c>
      <c r="E393" t="s">
        <v>89</v>
      </c>
      <c r="F393" t="s">
        <v>12</v>
      </c>
      <c r="G393" t="s">
        <v>90</v>
      </c>
      <c r="H393" s="2">
        <v>12</v>
      </c>
      <c r="I393" s="2">
        <v>1</v>
      </c>
      <c r="J393" s="3">
        <v>23.94</v>
      </c>
      <c r="K393" t="s">
        <v>13</v>
      </c>
      <c r="L393" s="3">
        <f t="shared" si="18"/>
        <v>1.9950000000000001</v>
      </c>
      <c r="M393" t="str">
        <f t="shared" si="19"/>
        <v>Saturday</v>
      </c>
      <c r="N393" t="str">
        <f t="shared" si="20"/>
        <v>Medium</v>
      </c>
    </row>
    <row r="394" spans="1:14" x14ac:dyDescent="0.35">
      <c r="A394">
        <v>1483059836</v>
      </c>
      <c r="B394" s="1">
        <v>42733</v>
      </c>
      <c r="C394" t="s">
        <v>40</v>
      </c>
      <c r="D394" t="s">
        <v>87</v>
      </c>
      <c r="E394" t="s">
        <v>89</v>
      </c>
      <c r="F394" t="s">
        <v>16</v>
      </c>
      <c r="G394" t="s">
        <v>91</v>
      </c>
      <c r="H394" s="2">
        <v>23</v>
      </c>
      <c r="I394" s="2">
        <v>1</v>
      </c>
      <c r="J394" s="3">
        <v>23.97</v>
      </c>
      <c r="K394" t="s">
        <v>13</v>
      </c>
      <c r="L394" s="3">
        <f t="shared" si="18"/>
        <v>1.0421739130434782</v>
      </c>
      <c r="M394" t="str">
        <f t="shared" si="19"/>
        <v>Thursday</v>
      </c>
      <c r="N394" t="str">
        <f t="shared" si="20"/>
        <v>Medium</v>
      </c>
    </row>
    <row r="395" spans="1:14" x14ac:dyDescent="0.35">
      <c r="A395">
        <v>1500468898</v>
      </c>
      <c r="B395" s="1">
        <v>42935</v>
      </c>
      <c r="C395" t="s">
        <v>11</v>
      </c>
      <c r="D395" t="s">
        <v>58</v>
      </c>
      <c r="E395" t="s">
        <v>89</v>
      </c>
      <c r="F395" t="s">
        <v>12</v>
      </c>
      <c r="G395" t="s">
        <v>90</v>
      </c>
      <c r="H395" s="2">
        <v>26</v>
      </c>
      <c r="I395" s="2">
        <v>1</v>
      </c>
      <c r="J395" s="3">
        <v>23.99</v>
      </c>
      <c r="K395" t="s">
        <v>13</v>
      </c>
      <c r="L395" s="3">
        <f t="shared" si="18"/>
        <v>0.92269230769230759</v>
      </c>
      <c r="M395" t="str">
        <f t="shared" si="19"/>
        <v>Wednesday</v>
      </c>
      <c r="N395" t="str">
        <f t="shared" si="20"/>
        <v>Medium</v>
      </c>
    </row>
    <row r="396" spans="1:14" x14ac:dyDescent="0.35">
      <c r="A396">
        <v>1481122035</v>
      </c>
      <c r="B396" s="1">
        <v>42711</v>
      </c>
      <c r="C396" t="s">
        <v>11</v>
      </c>
      <c r="D396" t="s">
        <v>87</v>
      </c>
      <c r="E396" t="s">
        <v>89</v>
      </c>
      <c r="F396" t="s">
        <v>12</v>
      </c>
      <c r="G396" t="s">
        <v>91</v>
      </c>
      <c r="H396" s="2">
        <v>15</v>
      </c>
      <c r="I396" s="2">
        <v>1</v>
      </c>
      <c r="J396" s="3">
        <v>23.99</v>
      </c>
      <c r="K396" t="s">
        <v>13</v>
      </c>
      <c r="L396" s="3">
        <f t="shared" si="18"/>
        <v>1.5993333333333333</v>
      </c>
      <c r="M396" t="str">
        <f t="shared" si="19"/>
        <v>Wednesday</v>
      </c>
      <c r="N396" t="str">
        <f t="shared" si="20"/>
        <v>Medium</v>
      </c>
    </row>
    <row r="397" spans="1:14" x14ac:dyDescent="0.35">
      <c r="A397">
        <v>1478286092</v>
      </c>
      <c r="B397" s="1">
        <v>42678</v>
      </c>
      <c r="C397" t="s">
        <v>11</v>
      </c>
      <c r="D397" t="s">
        <v>44</v>
      </c>
      <c r="E397" t="s">
        <v>89</v>
      </c>
      <c r="F397" t="s">
        <v>12</v>
      </c>
      <c r="G397" t="s">
        <v>91</v>
      </c>
      <c r="H397" s="2">
        <v>20</v>
      </c>
      <c r="I397" s="2">
        <v>1</v>
      </c>
      <c r="J397" s="3">
        <v>23.99</v>
      </c>
      <c r="K397" t="s">
        <v>13</v>
      </c>
      <c r="L397" s="3">
        <f t="shared" si="18"/>
        <v>1.1995</v>
      </c>
      <c r="M397" t="str">
        <f t="shared" si="19"/>
        <v>Friday</v>
      </c>
      <c r="N397" t="str">
        <f t="shared" si="20"/>
        <v>Medium</v>
      </c>
    </row>
    <row r="398" spans="1:14" x14ac:dyDescent="0.35">
      <c r="A398">
        <v>1482015427</v>
      </c>
      <c r="B398" s="1">
        <v>42721</v>
      </c>
      <c r="C398" t="s">
        <v>11</v>
      </c>
      <c r="D398" t="s">
        <v>27</v>
      </c>
      <c r="E398" t="s">
        <v>89</v>
      </c>
      <c r="F398" t="s">
        <v>12</v>
      </c>
      <c r="G398" t="s">
        <v>91</v>
      </c>
      <c r="H398" s="2">
        <v>21</v>
      </c>
      <c r="I398" s="2">
        <v>1</v>
      </c>
      <c r="J398" s="3">
        <v>23.99</v>
      </c>
      <c r="K398" t="s">
        <v>13</v>
      </c>
      <c r="L398" s="3">
        <f t="shared" si="18"/>
        <v>1.1423809523809523</v>
      </c>
      <c r="M398" t="str">
        <f t="shared" si="19"/>
        <v>Saturday</v>
      </c>
      <c r="N398" t="str">
        <f t="shared" si="20"/>
        <v>Medium</v>
      </c>
    </row>
    <row r="399" spans="1:14" x14ac:dyDescent="0.35">
      <c r="A399">
        <v>1499906980</v>
      </c>
      <c r="B399" s="1">
        <v>42928</v>
      </c>
      <c r="C399" t="s">
        <v>11</v>
      </c>
      <c r="D399" t="s">
        <v>48</v>
      </c>
      <c r="E399" t="s">
        <v>89</v>
      </c>
      <c r="F399" t="s">
        <v>12</v>
      </c>
      <c r="G399" t="s">
        <v>90</v>
      </c>
      <c r="H399" s="2">
        <v>52</v>
      </c>
      <c r="I399" s="2">
        <v>1</v>
      </c>
      <c r="J399" s="3">
        <v>24.07</v>
      </c>
      <c r="K399" t="s">
        <v>13</v>
      </c>
      <c r="L399" s="3">
        <f t="shared" si="18"/>
        <v>0.46288461538461539</v>
      </c>
      <c r="M399" t="str">
        <f t="shared" si="19"/>
        <v>Wednesday</v>
      </c>
      <c r="N399" t="str">
        <f t="shared" si="20"/>
        <v>Medium</v>
      </c>
    </row>
    <row r="400" spans="1:14" x14ac:dyDescent="0.35">
      <c r="A400">
        <v>1498756014</v>
      </c>
      <c r="B400" s="1">
        <v>42915</v>
      </c>
      <c r="C400" t="s">
        <v>11</v>
      </c>
      <c r="D400" t="s">
        <v>87</v>
      </c>
      <c r="E400" t="s">
        <v>89</v>
      </c>
      <c r="F400" t="s">
        <v>12</v>
      </c>
      <c r="G400" t="s">
        <v>90</v>
      </c>
      <c r="H400" s="2">
        <v>41</v>
      </c>
      <c r="I400" s="2">
        <v>1</v>
      </c>
      <c r="J400" s="3">
        <v>24.28</v>
      </c>
      <c r="K400" t="s">
        <v>13</v>
      </c>
      <c r="L400" s="3">
        <f t="shared" si="18"/>
        <v>0.59219512195121959</v>
      </c>
      <c r="M400" t="str">
        <f t="shared" si="19"/>
        <v>Thursday</v>
      </c>
      <c r="N400" t="str">
        <f t="shared" si="20"/>
        <v>Medium</v>
      </c>
    </row>
    <row r="401" spans="1:14" x14ac:dyDescent="0.35">
      <c r="A401">
        <v>1501454901</v>
      </c>
      <c r="B401" s="1">
        <v>42946</v>
      </c>
      <c r="C401" t="s">
        <v>11</v>
      </c>
      <c r="D401" t="s">
        <v>87</v>
      </c>
      <c r="E401" t="s">
        <v>89</v>
      </c>
      <c r="F401" t="s">
        <v>12</v>
      </c>
      <c r="G401" t="s">
        <v>90</v>
      </c>
      <c r="H401" s="2">
        <v>34</v>
      </c>
      <c r="I401" s="2">
        <v>1</v>
      </c>
      <c r="J401" s="3">
        <v>24.29</v>
      </c>
      <c r="K401" t="s">
        <v>13</v>
      </c>
      <c r="L401" s="3">
        <f t="shared" si="18"/>
        <v>0.7144117647058823</v>
      </c>
      <c r="M401" t="str">
        <f t="shared" si="19"/>
        <v>Sunday</v>
      </c>
      <c r="N401" t="str">
        <f t="shared" si="20"/>
        <v>Medium</v>
      </c>
    </row>
    <row r="402" spans="1:14" x14ac:dyDescent="0.35">
      <c r="A402">
        <v>1486054170</v>
      </c>
      <c r="B402" s="1">
        <v>42768</v>
      </c>
      <c r="C402" t="s">
        <v>11</v>
      </c>
      <c r="D402" t="s">
        <v>87</v>
      </c>
      <c r="E402" t="s">
        <v>89</v>
      </c>
      <c r="F402" t="s">
        <v>16</v>
      </c>
      <c r="G402" t="s">
        <v>91</v>
      </c>
      <c r="H402" s="2">
        <v>20</v>
      </c>
      <c r="I402" s="2">
        <v>1</v>
      </c>
      <c r="J402" s="3">
        <v>24.48</v>
      </c>
      <c r="K402" t="s">
        <v>13</v>
      </c>
      <c r="L402" s="3">
        <f t="shared" si="18"/>
        <v>1.224</v>
      </c>
      <c r="M402" t="str">
        <f t="shared" si="19"/>
        <v>Thursday</v>
      </c>
      <c r="N402" t="str">
        <f t="shared" si="20"/>
        <v>Medium</v>
      </c>
    </row>
    <row r="403" spans="1:14" x14ac:dyDescent="0.35">
      <c r="A403">
        <v>1496023530</v>
      </c>
      <c r="B403" s="1">
        <v>42883</v>
      </c>
      <c r="C403" t="s">
        <v>11</v>
      </c>
      <c r="D403" t="s">
        <v>87</v>
      </c>
      <c r="E403" t="s">
        <v>89</v>
      </c>
      <c r="F403" t="s">
        <v>12</v>
      </c>
      <c r="G403" t="s">
        <v>91</v>
      </c>
      <c r="H403" s="2">
        <v>32</v>
      </c>
      <c r="I403" s="2">
        <v>1</v>
      </c>
      <c r="J403" s="3">
        <v>24.49</v>
      </c>
      <c r="K403" t="s">
        <v>13</v>
      </c>
      <c r="L403" s="3">
        <f t="shared" si="18"/>
        <v>0.76531249999999995</v>
      </c>
      <c r="M403" t="str">
        <f t="shared" si="19"/>
        <v>Sunday</v>
      </c>
      <c r="N403" t="str">
        <f t="shared" si="20"/>
        <v>Medium</v>
      </c>
    </row>
    <row r="404" spans="1:14" x14ac:dyDescent="0.35">
      <c r="A404">
        <v>1473544987</v>
      </c>
      <c r="B404" s="1">
        <v>42623</v>
      </c>
      <c r="C404" t="s">
        <v>11</v>
      </c>
      <c r="D404" t="s">
        <v>19</v>
      </c>
      <c r="E404" t="s">
        <v>89</v>
      </c>
      <c r="F404" t="s">
        <v>12</v>
      </c>
      <c r="G404" t="s">
        <v>91</v>
      </c>
      <c r="H404" s="2">
        <v>43</v>
      </c>
      <c r="I404" s="2">
        <v>1</v>
      </c>
      <c r="J404" s="3">
        <v>24.55</v>
      </c>
      <c r="K404" t="s">
        <v>13</v>
      </c>
      <c r="L404" s="3">
        <f t="shared" si="18"/>
        <v>0.57093023255813957</v>
      </c>
      <c r="M404" t="str">
        <f t="shared" si="19"/>
        <v>Saturday</v>
      </c>
      <c r="N404" t="str">
        <f t="shared" si="20"/>
        <v>Medium</v>
      </c>
    </row>
    <row r="405" spans="1:14" x14ac:dyDescent="0.35">
      <c r="A405">
        <v>1493658113</v>
      </c>
      <c r="B405" s="1">
        <v>42856</v>
      </c>
      <c r="C405" t="s">
        <v>11</v>
      </c>
      <c r="D405" t="s">
        <v>87</v>
      </c>
      <c r="E405" t="s">
        <v>89</v>
      </c>
      <c r="F405" t="s">
        <v>12</v>
      </c>
      <c r="G405" t="s">
        <v>90</v>
      </c>
      <c r="H405" s="2">
        <v>20</v>
      </c>
      <c r="I405" s="2">
        <v>1</v>
      </c>
      <c r="J405" s="3">
        <v>24.57</v>
      </c>
      <c r="K405" t="s">
        <v>13</v>
      </c>
      <c r="L405" s="3">
        <f t="shared" si="18"/>
        <v>1.2284999999999999</v>
      </c>
      <c r="M405" t="str">
        <f t="shared" si="19"/>
        <v>Monday</v>
      </c>
      <c r="N405" t="str">
        <f t="shared" si="20"/>
        <v>Medium</v>
      </c>
    </row>
    <row r="406" spans="1:14" x14ac:dyDescent="0.35">
      <c r="A406">
        <v>1470840032</v>
      </c>
      <c r="B406" s="1">
        <v>42592</v>
      </c>
      <c r="C406" t="s">
        <v>11</v>
      </c>
      <c r="D406" t="s">
        <v>59</v>
      </c>
      <c r="E406" t="s">
        <v>89</v>
      </c>
      <c r="F406" t="s">
        <v>12</v>
      </c>
      <c r="G406" t="s">
        <v>91</v>
      </c>
      <c r="H406" s="2">
        <v>10</v>
      </c>
      <c r="I406" s="2">
        <v>1</v>
      </c>
      <c r="J406" s="3">
        <v>24.68</v>
      </c>
      <c r="K406" t="s">
        <v>13</v>
      </c>
      <c r="L406" s="3">
        <f t="shared" si="18"/>
        <v>2.468</v>
      </c>
      <c r="M406" t="str">
        <f t="shared" si="19"/>
        <v>Wednesday</v>
      </c>
      <c r="N406" t="str">
        <f t="shared" si="20"/>
        <v>Medium</v>
      </c>
    </row>
    <row r="407" spans="1:14" x14ac:dyDescent="0.35">
      <c r="A407">
        <v>1470860124</v>
      </c>
      <c r="B407" s="1">
        <v>42592</v>
      </c>
      <c r="C407" t="s">
        <v>11</v>
      </c>
      <c r="D407" t="s">
        <v>87</v>
      </c>
      <c r="E407" t="s">
        <v>89</v>
      </c>
      <c r="F407" t="s">
        <v>16</v>
      </c>
      <c r="G407" t="s">
        <v>90</v>
      </c>
      <c r="H407" s="2">
        <v>12</v>
      </c>
      <c r="I407" s="2">
        <v>1</v>
      </c>
      <c r="J407" s="3">
        <v>24.76</v>
      </c>
      <c r="K407" t="s">
        <v>13</v>
      </c>
      <c r="L407" s="3">
        <f t="shared" si="18"/>
        <v>2.0633333333333335</v>
      </c>
      <c r="M407" t="str">
        <f t="shared" si="19"/>
        <v>Wednesday</v>
      </c>
      <c r="N407" t="str">
        <f t="shared" si="20"/>
        <v>Medium</v>
      </c>
    </row>
    <row r="408" spans="1:14" x14ac:dyDescent="0.35">
      <c r="A408">
        <v>1494716739</v>
      </c>
      <c r="B408" s="1">
        <v>42868</v>
      </c>
      <c r="C408" t="s">
        <v>11</v>
      </c>
      <c r="D408" t="s">
        <v>18</v>
      </c>
      <c r="E408" t="s">
        <v>89</v>
      </c>
      <c r="F408" t="s">
        <v>16</v>
      </c>
      <c r="G408" t="s">
        <v>90</v>
      </c>
      <c r="H408" s="2">
        <v>60</v>
      </c>
      <c r="I408" s="2">
        <v>1</v>
      </c>
      <c r="J408" s="3">
        <v>24.93</v>
      </c>
      <c r="K408" t="s">
        <v>13</v>
      </c>
      <c r="L408" s="3">
        <f t="shared" si="18"/>
        <v>0.41549999999999998</v>
      </c>
      <c r="M408" t="str">
        <f t="shared" si="19"/>
        <v>Saturday</v>
      </c>
      <c r="N408" t="str">
        <f t="shared" si="20"/>
        <v>Medium</v>
      </c>
    </row>
    <row r="409" spans="1:14" x14ac:dyDescent="0.35">
      <c r="A409">
        <v>1500376439</v>
      </c>
      <c r="B409" s="1">
        <v>42934</v>
      </c>
      <c r="C409" t="s">
        <v>11</v>
      </c>
      <c r="D409" t="s">
        <v>58</v>
      </c>
      <c r="E409" t="s">
        <v>89</v>
      </c>
      <c r="F409" t="s">
        <v>12</v>
      </c>
      <c r="G409" t="s">
        <v>90</v>
      </c>
      <c r="H409" s="2">
        <v>21</v>
      </c>
      <c r="I409" s="2">
        <v>1</v>
      </c>
      <c r="J409" s="3">
        <v>24.95</v>
      </c>
      <c r="K409" t="s">
        <v>13</v>
      </c>
      <c r="L409" s="3">
        <f t="shared" si="18"/>
        <v>1.1880952380952381</v>
      </c>
      <c r="M409" t="str">
        <f t="shared" si="19"/>
        <v>Tuesday</v>
      </c>
      <c r="N409" t="str">
        <f t="shared" si="20"/>
        <v>Medium</v>
      </c>
    </row>
    <row r="410" spans="1:14" x14ac:dyDescent="0.35">
      <c r="A410">
        <v>1496775994</v>
      </c>
      <c r="B410" s="1">
        <v>42892</v>
      </c>
      <c r="C410" t="s">
        <v>11</v>
      </c>
      <c r="D410" t="s">
        <v>87</v>
      </c>
      <c r="E410" t="s">
        <v>89</v>
      </c>
      <c r="F410" t="s">
        <v>12</v>
      </c>
      <c r="G410" t="s">
        <v>91</v>
      </c>
      <c r="H410" s="2">
        <v>30</v>
      </c>
      <c r="I410" s="2">
        <v>1</v>
      </c>
      <c r="J410" s="3">
        <v>24.97</v>
      </c>
      <c r="K410" t="s">
        <v>13</v>
      </c>
      <c r="L410" s="3">
        <f t="shared" si="18"/>
        <v>0.83233333333333326</v>
      </c>
      <c r="M410" t="str">
        <f t="shared" si="19"/>
        <v>Tuesday</v>
      </c>
      <c r="N410" t="str">
        <f t="shared" si="20"/>
        <v>Medium</v>
      </c>
    </row>
    <row r="411" spans="1:14" x14ac:dyDescent="0.35">
      <c r="A411">
        <v>1487271998</v>
      </c>
      <c r="B411" s="1">
        <v>42782</v>
      </c>
      <c r="C411" t="s">
        <v>11</v>
      </c>
      <c r="D411" t="s">
        <v>87</v>
      </c>
      <c r="E411" t="s">
        <v>89</v>
      </c>
      <c r="F411" t="s">
        <v>12</v>
      </c>
      <c r="G411" t="s">
        <v>90</v>
      </c>
      <c r="H411" s="2">
        <v>15</v>
      </c>
      <c r="I411" s="2">
        <v>1</v>
      </c>
      <c r="J411" s="3">
        <v>24.99</v>
      </c>
      <c r="K411" t="s">
        <v>13</v>
      </c>
      <c r="L411" s="3">
        <f t="shared" si="18"/>
        <v>1.6659999999999999</v>
      </c>
      <c r="M411" t="str">
        <f t="shared" si="19"/>
        <v>Thursday</v>
      </c>
      <c r="N411" t="str">
        <f t="shared" si="20"/>
        <v>Medium</v>
      </c>
    </row>
    <row r="412" spans="1:14" x14ac:dyDescent="0.35">
      <c r="A412">
        <v>1486489846</v>
      </c>
      <c r="B412" s="1">
        <v>42773</v>
      </c>
      <c r="C412" t="s">
        <v>11</v>
      </c>
      <c r="D412" t="s">
        <v>87</v>
      </c>
      <c r="E412" t="s">
        <v>89</v>
      </c>
      <c r="F412" t="s">
        <v>12</v>
      </c>
      <c r="G412" t="s">
        <v>91</v>
      </c>
      <c r="H412" s="2">
        <v>13</v>
      </c>
      <c r="I412" s="2">
        <v>1</v>
      </c>
      <c r="J412" s="3">
        <v>24.99</v>
      </c>
      <c r="K412" t="s">
        <v>13</v>
      </c>
      <c r="L412" s="3">
        <f t="shared" si="18"/>
        <v>1.9223076923076923</v>
      </c>
      <c r="M412" t="str">
        <f t="shared" si="19"/>
        <v>Tuesday</v>
      </c>
      <c r="N412" t="str">
        <f t="shared" si="20"/>
        <v>Medium</v>
      </c>
    </row>
    <row r="413" spans="1:14" x14ac:dyDescent="0.35">
      <c r="A413">
        <v>1473097473</v>
      </c>
      <c r="B413" s="1">
        <v>42618</v>
      </c>
      <c r="C413" t="s">
        <v>11</v>
      </c>
      <c r="D413" t="s">
        <v>18</v>
      </c>
      <c r="E413" t="s">
        <v>89</v>
      </c>
      <c r="F413" t="s">
        <v>12</v>
      </c>
      <c r="G413" t="s">
        <v>91</v>
      </c>
      <c r="H413" s="2">
        <v>20</v>
      </c>
      <c r="I413" s="2">
        <v>1</v>
      </c>
      <c r="J413" s="3">
        <v>24.99</v>
      </c>
      <c r="K413" t="s">
        <v>13</v>
      </c>
      <c r="L413" s="3">
        <f t="shared" si="18"/>
        <v>1.2494999999999998</v>
      </c>
      <c r="M413" t="str">
        <f t="shared" si="19"/>
        <v>Monday</v>
      </c>
      <c r="N413" t="str">
        <f t="shared" si="20"/>
        <v>Medium</v>
      </c>
    </row>
    <row r="414" spans="1:14" x14ac:dyDescent="0.35">
      <c r="A414">
        <v>1479538074</v>
      </c>
      <c r="B414" s="1">
        <v>42692</v>
      </c>
      <c r="C414" t="s">
        <v>11</v>
      </c>
      <c r="D414" t="s">
        <v>87</v>
      </c>
      <c r="E414" t="s">
        <v>89</v>
      </c>
      <c r="F414" t="s">
        <v>12</v>
      </c>
      <c r="G414" t="s">
        <v>91</v>
      </c>
      <c r="H414" s="2">
        <v>20</v>
      </c>
      <c r="I414" s="2">
        <v>1</v>
      </c>
      <c r="J414" s="3">
        <v>24.99</v>
      </c>
      <c r="K414" t="s">
        <v>13</v>
      </c>
      <c r="L414" s="3">
        <f t="shared" si="18"/>
        <v>1.2494999999999998</v>
      </c>
      <c r="M414" t="str">
        <f t="shared" si="19"/>
        <v>Friday</v>
      </c>
      <c r="N414" t="str">
        <f t="shared" si="20"/>
        <v>Medium</v>
      </c>
    </row>
    <row r="415" spans="1:14" x14ac:dyDescent="0.35">
      <c r="A415">
        <v>1484209633</v>
      </c>
      <c r="B415" s="1">
        <v>42747</v>
      </c>
      <c r="C415" t="s">
        <v>11</v>
      </c>
      <c r="D415" t="s">
        <v>87</v>
      </c>
      <c r="E415" t="s">
        <v>89</v>
      </c>
      <c r="F415" t="s">
        <v>12</v>
      </c>
      <c r="G415" t="s">
        <v>91</v>
      </c>
      <c r="H415" s="2">
        <v>36</v>
      </c>
      <c r="I415" s="2">
        <v>1</v>
      </c>
      <c r="J415" s="3">
        <v>24.99</v>
      </c>
      <c r="K415" t="s">
        <v>13</v>
      </c>
      <c r="L415" s="3">
        <f t="shared" si="18"/>
        <v>0.6941666666666666</v>
      </c>
      <c r="M415" t="str">
        <f t="shared" si="19"/>
        <v>Thursday</v>
      </c>
      <c r="N415" t="str">
        <f t="shared" si="20"/>
        <v>Medium</v>
      </c>
    </row>
    <row r="416" spans="1:14" x14ac:dyDescent="0.35">
      <c r="A416">
        <v>1475636271</v>
      </c>
      <c r="B416" s="1">
        <v>42647</v>
      </c>
      <c r="C416" t="s">
        <v>11</v>
      </c>
      <c r="D416" t="s">
        <v>31</v>
      </c>
      <c r="E416" t="s">
        <v>89</v>
      </c>
      <c r="F416" t="s">
        <v>39</v>
      </c>
      <c r="G416" t="s">
        <v>91</v>
      </c>
      <c r="H416" s="2">
        <v>17</v>
      </c>
      <c r="I416" s="2">
        <v>1</v>
      </c>
      <c r="J416" s="3">
        <v>24.99</v>
      </c>
      <c r="K416" t="s">
        <v>13</v>
      </c>
      <c r="L416" s="3">
        <f t="shared" si="18"/>
        <v>1.47</v>
      </c>
      <c r="M416" t="str">
        <f t="shared" si="19"/>
        <v>Tuesday</v>
      </c>
      <c r="N416" t="str">
        <f t="shared" si="20"/>
        <v>Medium</v>
      </c>
    </row>
    <row r="417" spans="1:14" x14ac:dyDescent="0.35">
      <c r="A417">
        <v>1481662348</v>
      </c>
      <c r="B417" s="1">
        <v>42717</v>
      </c>
      <c r="C417" t="s">
        <v>11</v>
      </c>
      <c r="D417" t="s">
        <v>87</v>
      </c>
      <c r="E417" t="s">
        <v>89</v>
      </c>
      <c r="F417" t="s">
        <v>12</v>
      </c>
      <c r="G417" t="s">
        <v>91</v>
      </c>
      <c r="H417" s="2">
        <v>22</v>
      </c>
      <c r="I417" s="2">
        <v>1</v>
      </c>
      <c r="J417" s="3">
        <v>24.99</v>
      </c>
      <c r="K417" t="s">
        <v>13</v>
      </c>
      <c r="L417" s="3">
        <f t="shared" si="18"/>
        <v>1.1359090909090908</v>
      </c>
      <c r="M417" t="str">
        <f t="shared" si="19"/>
        <v>Tuesday</v>
      </c>
      <c r="N417" t="str">
        <f t="shared" si="20"/>
        <v>Medium</v>
      </c>
    </row>
    <row r="418" spans="1:14" x14ac:dyDescent="0.35">
      <c r="A418">
        <v>1488909054</v>
      </c>
      <c r="B418" s="1">
        <v>42801</v>
      </c>
      <c r="C418" t="s">
        <v>11</v>
      </c>
      <c r="D418" t="s">
        <v>87</v>
      </c>
      <c r="E418" t="s">
        <v>89</v>
      </c>
      <c r="F418" t="s">
        <v>12</v>
      </c>
      <c r="G418" t="s">
        <v>90</v>
      </c>
      <c r="H418" s="2">
        <v>16</v>
      </c>
      <c r="I418" s="2">
        <v>1</v>
      </c>
      <c r="J418" s="3">
        <v>24.99</v>
      </c>
      <c r="K418" t="s">
        <v>13</v>
      </c>
      <c r="L418" s="3">
        <f t="shared" si="18"/>
        <v>1.5618749999999999</v>
      </c>
      <c r="M418" t="str">
        <f t="shared" si="19"/>
        <v>Tuesday</v>
      </c>
      <c r="N418" t="str">
        <f t="shared" si="20"/>
        <v>Medium</v>
      </c>
    </row>
    <row r="419" spans="1:14" x14ac:dyDescent="0.35">
      <c r="A419">
        <v>1492441565</v>
      </c>
      <c r="B419" s="1">
        <v>42842</v>
      </c>
      <c r="C419" t="s">
        <v>11</v>
      </c>
      <c r="D419" t="s">
        <v>87</v>
      </c>
      <c r="E419" t="s">
        <v>89</v>
      </c>
      <c r="F419" t="s">
        <v>16</v>
      </c>
      <c r="G419" t="s">
        <v>91</v>
      </c>
      <c r="H419" s="2">
        <v>16</v>
      </c>
      <c r="I419" s="2">
        <v>1</v>
      </c>
      <c r="J419" s="3">
        <v>24.99</v>
      </c>
      <c r="K419" t="s">
        <v>13</v>
      </c>
      <c r="L419" s="3">
        <f t="shared" si="18"/>
        <v>1.5618749999999999</v>
      </c>
      <c r="M419" t="str">
        <f t="shared" si="19"/>
        <v>Monday</v>
      </c>
      <c r="N419" t="str">
        <f t="shared" si="20"/>
        <v>Medium</v>
      </c>
    </row>
    <row r="420" spans="1:14" x14ac:dyDescent="0.35">
      <c r="A420">
        <v>1480565270</v>
      </c>
      <c r="B420" s="1">
        <v>42704</v>
      </c>
      <c r="C420" t="s">
        <v>11</v>
      </c>
      <c r="D420" t="s">
        <v>60</v>
      </c>
      <c r="E420" t="s">
        <v>89</v>
      </c>
      <c r="F420" t="s">
        <v>16</v>
      </c>
      <c r="G420" t="s">
        <v>91</v>
      </c>
      <c r="H420" s="2">
        <v>16</v>
      </c>
      <c r="I420" s="2">
        <v>1</v>
      </c>
      <c r="J420" s="3">
        <v>24.99</v>
      </c>
      <c r="K420" t="s">
        <v>13</v>
      </c>
      <c r="L420" s="3">
        <f t="shared" si="18"/>
        <v>1.5618749999999999</v>
      </c>
      <c r="M420" t="str">
        <f t="shared" si="19"/>
        <v>Wednesday</v>
      </c>
      <c r="N420" t="str">
        <f t="shared" si="20"/>
        <v>Medium</v>
      </c>
    </row>
    <row r="421" spans="1:14" x14ac:dyDescent="0.35">
      <c r="A421">
        <v>1481835393</v>
      </c>
      <c r="B421" s="1">
        <v>42719</v>
      </c>
      <c r="C421" t="s">
        <v>11</v>
      </c>
      <c r="D421" t="s">
        <v>25</v>
      </c>
      <c r="E421" t="s">
        <v>89</v>
      </c>
      <c r="F421" t="s">
        <v>12</v>
      </c>
      <c r="G421" t="s">
        <v>91</v>
      </c>
      <c r="H421" s="2">
        <v>15</v>
      </c>
      <c r="I421" s="2">
        <v>1</v>
      </c>
      <c r="J421" s="3">
        <v>24.99</v>
      </c>
      <c r="K421" t="s">
        <v>13</v>
      </c>
      <c r="L421" s="3">
        <f t="shared" si="18"/>
        <v>1.6659999999999999</v>
      </c>
      <c r="M421" t="str">
        <f t="shared" si="19"/>
        <v>Thursday</v>
      </c>
      <c r="N421" t="str">
        <f t="shared" si="20"/>
        <v>Medium</v>
      </c>
    </row>
    <row r="422" spans="1:14" x14ac:dyDescent="0.35">
      <c r="A422">
        <v>1474244482</v>
      </c>
      <c r="B422" s="1">
        <v>42631</v>
      </c>
      <c r="C422" t="s">
        <v>11</v>
      </c>
      <c r="D422" t="s">
        <v>87</v>
      </c>
      <c r="E422" t="s">
        <v>89</v>
      </c>
      <c r="F422" t="s">
        <v>12</v>
      </c>
      <c r="G422" t="s">
        <v>90</v>
      </c>
      <c r="H422" s="2">
        <v>19</v>
      </c>
      <c r="I422" s="2">
        <v>1</v>
      </c>
      <c r="J422" s="3">
        <v>24.99</v>
      </c>
      <c r="K422" t="s">
        <v>13</v>
      </c>
      <c r="L422" s="3">
        <f t="shared" si="18"/>
        <v>1.3152631578947367</v>
      </c>
      <c r="M422" t="str">
        <f t="shared" si="19"/>
        <v>Sunday</v>
      </c>
      <c r="N422" t="str">
        <f t="shared" si="20"/>
        <v>Medium</v>
      </c>
    </row>
    <row r="423" spans="1:14" x14ac:dyDescent="0.35">
      <c r="A423">
        <v>1501167890</v>
      </c>
      <c r="B423" s="1">
        <v>42943</v>
      </c>
      <c r="C423" t="s">
        <v>11</v>
      </c>
      <c r="D423" t="s">
        <v>87</v>
      </c>
      <c r="E423" t="s">
        <v>89</v>
      </c>
      <c r="F423" t="s">
        <v>12</v>
      </c>
      <c r="G423" t="s">
        <v>90</v>
      </c>
      <c r="H423" s="2">
        <v>13</v>
      </c>
      <c r="I423" s="2">
        <v>1</v>
      </c>
      <c r="J423" s="3">
        <v>24.99</v>
      </c>
      <c r="K423" t="s">
        <v>13</v>
      </c>
      <c r="L423" s="3">
        <f t="shared" si="18"/>
        <v>1.9223076923076923</v>
      </c>
      <c r="M423" t="str">
        <f t="shared" si="19"/>
        <v>Thursday</v>
      </c>
      <c r="N423" t="str">
        <f t="shared" si="20"/>
        <v>Medium</v>
      </c>
    </row>
    <row r="424" spans="1:14" x14ac:dyDescent="0.35">
      <c r="A424">
        <v>1471884982</v>
      </c>
      <c r="B424" s="1">
        <v>42604</v>
      </c>
      <c r="C424" t="s">
        <v>11</v>
      </c>
      <c r="D424" t="s">
        <v>14</v>
      </c>
      <c r="E424" t="s">
        <v>89</v>
      </c>
      <c r="F424" t="s">
        <v>16</v>
      </c>
      <c r="G424" t="s">
        <v>90</v>
      </c>
      <c r="H424" s="2">
        <v>18</v>
      </c>
      <c r="I424" s="2">
        <v>1</v>
      </c>
      <c r="J424" s="3">
        <v>25</v>
      </c>
      <c r="K424" t="s">
        <v>13</v>
      </c>
      <c r="L424" s="3">
        <f t="shared" si="18"/>
        <v>1.3888888888888888</v>
      </c>
      <c r="M424" t="str">
        <f t="shared" si="19"/>
        <v>Monday</v>
      </c>
      <c r="N424" t="str">
        <f t="shared" si="20"/>
        <v>Medium</v>
      </c>
    </row>
    <row r="425" spans="1:14" x14ac:dyDescent="0.35">
      <c r="A425">
        <v>1474664379</v>
      </c>
      <c r="B425" s="1">
        <v>42636</v>
      </c>
      <c r="C425" t="s">
        <v>11</v>
      </c>
      <c r="D425" t="s">
        <v>15</v>
      </c>
      <c r="E425" t="s">
        <v>89</v>
      </c>
      <c r="F425" t="s">
        <v>12</v>
      </c>
      <c r="G425" t="s">
        <v>91</v>
      </c>
      <c r="H425" s="2">
        <v>21</v>
      </c>
      <c r="I425" s="2">
        <v>1</v>
      </c>
      <c r="J425" s="3">
        <v>25</v>
      </c>
      <c r="K425" t="s">
        <v>13</v>
      </c>
      <c r="L425" s="3">
        <f t="shared" si="18"/>
        <v>1.1904761904761905</v>
      </c>
      <c r="M425" t="str">
        <f t="shared" si="19"/>
        <v>Friday</v>
      </c>
      <c r="N425" t="str">
        <f t="shared" si="20"/>
        <v>Medium</v>
      </c>
    </row>
    <row r="426" spans="1:14" x14ac:dyDescent="0.35">
      <c r="A426">
        <v>1493253322</v>
      </c>
      <c r="B426" s="1">
        <v>42851</v>
      </c>
      <c r="C426" t="s">
        <v>11</v>
      </c>
      <c r="D426" t="s">
        <v>87</v>
      </c>
      <c r="E426" t="s">
        <v>89</v>
      </c>
      <c r="F426" t="s">
        <v>12</v>
      </c>
      <c r="G426" t="s">
        <v>90</v>
      </c>
      <c r="H426" s="2">
        <v>33</v>
      </c>
      <c r="I426" s="2">
        <v>1</v>
      </c>
      <c r="J426" s="3">
        <v>25.04</v>
      </c>
      <c r="K426" t="s">
        <v>13</v>
      </c>
      <c r="L426" s="3">
        <f t="shared" si="18"/>
        <v>0.75878787878787879</v>
      </c>
      <c r="M426" t="str">
        <f t="shared" si="19"/>
        <v>Wednesday</v>
      </c>
      <c r="N426" t="str">
        <f t="shared" si="20"/>
        <v>Medium</v>
      </c>
    </row>
    <row r="427" spans="1:14" x14ac:dyDescent="0.35">
      <c r="A427">
        <v>1473350320</v>
      </c>
      <c r="B427" s="1">
        <v>42621</v>
      </c>
      <c r="C427" t="s">
        <v>11</v>
      </c>
      <c r="D427" t="s">
        <v>31</v>
      </c>
      <c r="E427" t="s">
        <v>89</v>
      </c>
      <c r="F427" t="s">
        <v>12</v>
      </c>
      <c r="G427" t="s">
        <v>90</v>
      </c>
      <c r="H427" s="2">
        <v>31</v>
      </c>
      <c r="I427" s="2">
        <v>1</v>
      </c>
      <c r="J427" s="3">
        <v>25.18</v>
      </c>
      <c r="K427" t="s">
        <v>13</v>
      </c>
      <c r="L427" s="3">
        <f t="shared" si="18"/>
        <v>0.81225806451612903</v>
      </c>
      <c r="M427" t="str">
        <f t="shared" si="19"/>
        <v>Thursday</v>
      </c>
      <c r="N427" t="str">
        <f t="shared" si="20"/>
        <v>Medium</v>
      </c>
    </row>
    <row r="428" spans="1:14" x14ac:dyDescent="0.35">
      <c r="A428">
        <v>1478774631</v>
      </c>
      <c r="B428" s="1">
        <v>42684</v>
      </c>
      <c r="C428" t="s">
        <v>11</v>
      </c>
      <c r="D428" t="s">
        <v>87</v>
      </c>
      <c r="E428" t="s">
        <v>89</v>
      </c>
      <c r="F428" t="s">
        <v>16</v>
      </c>
      <c r="G428" t="s">
        <v>91</v>
      </c>
      <c r="H428" s="2">
        <v>8</v>
      </c>
      <c r="I428" s="2">
        <v>1</v>
      </c>
      <c r="J428" s="3">
        <v>25.18</v>
      </c>
      <c r="K428" t="s">
        <v>13</v>
      </c>
      <c r="L428" s="3">
        <f t="shared" si="18"/>
        <v>3.1475</v>
      </c>
      <c r="M428" t="str">
        <f t="shared" si="19"/>
        <v>Thursday</v>
      </c>
      <c r="N428" t="str">
        <f t="shared" si="20"/>
        <v>Medium</v>
      </c>
    </row>
    <row r="429" spans="1:14" x14ac:dyDescent="0.35">
      <c r="A429">
        <v>1500973527</v>
      </c>
      <c r="B429" s="1">
        <v>42941</v>
      </c>
      <c r="C429" t="s">
        <v>11</v>
      </c>
      <c r="D429" t="s">
        <v>87</v>
      </c>
      <c r="E429" t="s">
        <v>89</v>
      </c>
      <c r="F429" t="s">
        <v>12</v>
      </c>
      <c r="G429" t="s">
        <v>90</v>
      </c>
      <c r="H429" s="2">
        <v>38</v>
      </c>
      <c r="I429" s="2">
        <v>1</v>
      </c>
      <c r="J429" s="3">
        <v>25.27</v>
      </c>
      <c r="K429" t="s">
        <v>13</v>
      </c>
      <c r="L429" s="3">
        <f t="shared" si="18"/>
        <v>0.66500000000000004</v>
      </c>
      <c r="M429" t="str">
        <f t="shared" si="19"/>
        <v>Tuesday</v>
      </c>
      <c r="N429" t="str">
        <f t="shared" si="20"/>
        <v>Medium</v>
      </c>
    </row>
    <row r="430" spans="1:14" x14ac:dyDescent="0.35">
      <c r="A430">
        <v>1471859916</v>
      </c>
      <c r="B430" s="1">
        <v>42604</v>
      </c>
      <c r="C430" t="s">
        <v>61</v>
      </c>
      <c r="D430" t="s">
        <v>87</v>
      </c>
      <c r="E430" t="s">
        <v>89</v>
      </c>
      <c r="F430" t="s">
        <v>16</v>
      </c>
      <c r="G430" t="s">
        <v>90</v>
      </c>
      <c r="H430" s="2">
        <v>39</v>
      </c>
      <c r="I430" s="2">
        <v>1</v>
      </c>
      <c r="J430" s="3">
        <v>25.49</v>
      </c>
      <c r="K430" t="s">
        <v>13</v>
      </c>
      <c r="L430" s="3">
        <f t="shared" si="18"/>
        <v>0.65358974358974353</v>
      </c>
      <c r="M430" t="str">
        <f t="shared" si="19"/>
        <v>Monday</v>
      </c>
      <c r="N430" t="str">
        <f t="shared" si="20"/>
        <v>Medium</v>
      </c>
    </row>
    <row r="431" spans="1:14" x14ac:dyDescent="0.35">
      <c r="A431">
        <v>1470597090</v>
      </c>
      <c r="B431" s="1">
        <v>42589</v>
      </c>
      <c r="C431" t="s">
        <v>11</v>
      </c>
      <c r="D431" t="s">
        <v>31</v>
      </c>
      <c r="E431" t="s">
        <v>89</v>
      </c>
      <c r="F431" t="s">
        <v>16</v>
      </c>
      <c r="G431" t="s">
        <v>90</v>
      </c>
      <c r="H431" s="2">
        <v>20</v>
      </c>
      <c r="I431" s="2">
        <v>1</v>
      </c>
      <c r="J431" s="3">
        <v>25.49</v>
      </c>
      <c r="K431" t="s">
        <v>13</v>
      </c>
      <c r="L431" s="3">
        <f t="shared" si="18"/>
        <v>1.2745</v>
      </c>
      <c r="M431" t="str">
        <f t="shared" si="19"/>
        <v>Sunday</v>
      </c>
      <c r="N431" t="str">
        <f t="shared" si="20"/>
        <v>Medium</v>
      </c>
    </row>
    <row r="432" spans="1:14" x14ac:dyDescent="0.35">
      <c r="A432">
        <v>1499816891</v>
      </c>
      <c r="B432" s="1">
        <v>42927</v>
      </c>
      <c r="C432" t="s">
        <v>11</v>
      </c>
      <c r="D432" t="s">
        <v>87</v>
      </c>
      <c r="E432" t="s">
        <v>89</v>
      </c>
      <c r="F432" t="s">
        <v>12</v>
      </c>
      <c r="G432" t="s">
        <v>90</v>
      </c>
      <c r="H432" s="2">
        <v>16</v>
      </c>
      <c r="I432" s="2">
        <v>1</v>
      </c>
      <c r="J432" s="3">
        <v>25.89</v>
      </c>
      <c r="K432" t="s">
        <v>13</v>
      </c>
      <c r="L432" s="3">
        <f t="shared" si="18"/>
        <v>1.618125</v>
      </c>
      <c r="M432" t="str">
        <f t="shared" si="19"/>
        <v>Tuesday</v>
      </c>
      <c r="N432" t="str">
        <f t="shared" si="20"/>
        <v>Medium</v>
      </c>
    </row>
    <row r="433" spans="1:14" x14ac:dyDescent="0.35">
      <c r="A433">
        <v>1480965033</v>
      </c>
      <c r="B433" s="1">
        <v>42709</v>
      </c>
      <c r="C433" t="s">
        <v>11</v>
      </c>
      <c r="D433" t="s">
        <v>87</v>
      </c>
      <c r="E433" t="s">
        <v>89</v>
      </c>
      <c r="F433" t="s">
        <v>16</v>
      </c>
      <c r="G433" t="s">
        <v>91</v>
      </c>
      <c r="H433" s="2">
        <v>37</v>
      </c>
      <c r="I433" s="2">
        <v>1</v>
      </c>
      <c r="J433" s="3">
        <v>25.96</v>
      </c>
      <c r="K433" t="s">
        <v>13</v>
      </c>
      <c r="L433" s="3">
        <f t="shared" si="18"/>
        <v>0.70162162162162167</v>
      </c>
      <c r="M433" t="str">
        <f t="shared" si="19"/>
        <v>Monday</v>
      </c>
      <c r="N433" t="str">
        <f t="shared" si="20"/>
        <v>Medium</v>
      </c>
    </row>
    <row r="434" spans="1:14" x14ac:dyDescent="0.35">
      <c r="A434">
        <v>1492988427</v>
      </c>
      <c r="B434" s="1">
        <v>42848</v>
      </c>
      <c r="C434" t="s">
        <v>11</v>
      </c>
      <c r="D434" t="s">
        <v>87</v>
      </c>
      <c r="E434" t="s">
        <v>89</v>
      </c>
      <c r="F434" t="s">
        <v>16</v>
      </c>
      <c r="G434" t="s">
        <v>90</v>
      </c>
      <c r="H434" s="2">
        <v>39</v>
      </c>
      <c r="I434" s="2">
        <v>1</v>
      </c>
      <c r="J434" s="3">
        <v>25.97</v>
      </c>
      <c r="K434" t="s">
        <v>13</v>
      </c>
      <c r="L434" s="3">
        <f t="shared" si="18"/>
        <v>0.66589743589743589</v>
      </c>
      <c r="M434" t="str">
        <f t="shared" si="19"/>
        <v>Sunday</v>
      </c>
      <c r="N434" t="str">
        <f t="shared" si="20"/>
        <v>Medium</v>
      </c>
    </row>
    <row r="435" spans="1:14" x14ac:dyDescent="0.35">
      <c r="A435">
        <v>1496705835</v>
      </c>
      <c r="B435" s="1">
        <v>42891</v>
      </c>
      <c r="C435" t="s">
        <v>11</v>
      </c>
      <c r="D435" t="s">
        <v>87</v>
      </c>
      <c r="E435" t="s">
        <v>89</v>
      </c>
      <c r="F435" t="s">
        <v>16</v>
      </c>
      <c r="G435" t="s">
        <v>90</v>
      </c>
      <c r="H435" s="2">
        <v>27</v>
      </c>
      <c r="I435" s="2">
        <v>1</v>
      </c>
      <c r="J435" s="3">
        <v>25.98</v>
      </c>
      <c r="K435" t="s">
        <v>13</v>
      </c>
      <c r="L435" s="3">
        <f t="shared" si="18"/>
        <v>0.9622222222222222</v>
      </c>
      <c r="M435" t="str">
        <f t="shared" si="19"/>
        <v>Monday</v>
      </c>
      <c r="N435" t="str">
        <f t="shared" si="20"/>
        <v>Medium</v>
      </c>
    </row>
    <row r="436" spans="1:14" x14ac:dyDescent="0.35">
      <c r="A436">
        <v>1493117005</v>
      </c>
      <c r="B436" s="1">
        <v>42850</v>
      </c>
      <c r="C436" t="s">
        <v>11</v>
      </c>
      <c r="D436" t="s">
        <v>87</v>
      </c>
      <c r="E436" t="s">
        <v>89</v>
      </c>
      <c r="F436" t="s">
        <v>16</v>
      </c>
      <c r="G436" t="s">
        <v>90</v>
      </c>
      <c r="H436" s="2">
        <v>10</v>
      </c>
      <c r="I436" s="2">
        <v>1</v>
      </c>
      <c r="J436" s="3">
        <v>25.98</v>
      </c>
      <c r="K436" t="s">
        <v>13</v>
      </c>
      <c r="L436" s="3">
        <f t="shared" si="18"/>
        <v>2.5979999999999999</v>
      </c>
      <c r="M436" t="str">
        <f t="shared" si="19"/>
        <v>Tuesday</v>
      </c>
      <c r="N436" t="str">
        <f t="shared" si="20"/>
        <v>Medium</v>
      </c>
    </row>
    <row r="437" spans="1:14" x14ac:dyDescent="0.35">
      <c r="A437">
        <v>1493432171</v>
      </c>
      <c r="B437" s="1">
        <v>42853</v>
      </c>
      <c r="C437" t="s">
        <v>11</v>
      </c>
      <c r="D437" t="s">
        <v>15</v>
      </c>
      <c r="E437" t="s">
        <v>89</v>
      </c>
      <c r="F437" t="s">
        <v>12</v>
      </c>
      <c r="G437" t="s">
        <v>91</v>
      </c>
      <c r="H437" s="2">
        <v>31</v>
      </c>
      <c r="I437" s="2">
        <v>1</v>
      </c>
      <c r="J437" s="3">
        <v>25.99</v>
      </c>
      <c r="K437" t="s">
        <v>13</v>
      </c>
      <c r="L437" s="3">
        <f t="shared" si="18"/>
        <v>0.83838709677419354</v>
      </c>
      <c r="M437" t="str">
        <f t="shared" si="19"/>
        <v>Friday</v>
      </c>
      <c r="N437" t="str">
        <f t="shared" si="20"/>
        <v>Medium</v>
      </c>
    </row>
    <row r="438" spans="1:14" x14ac:dyDescent="0.35">
      <c r="A438">
        <v>1493779817</v>
      </c>
      <c r="B438" s="1">
        <v>42857</v>
      </c>
      <c r="C438" t="s">
        <v>11</v>
      </c>
      <c r="D438" t="s">
        <v>87</v>
      </c>
      <c r="E438" t="s">
        <v>89</v>
      </c>
      <c r="F438" t="s">
        <v>12</v>
      </c>
      <c r="G438" t="s">
        <v>90</v>
      </c>
      <c r="H438" s="2">
        <v>22</v>
      </c>
      <c r="I438" s="2">
        <v>1</v>
      </c>
      <c r="J438" s="3">
        <v>26.38</v>
      </c>
      <c r="K438" t="s">
        <v>13</v>
      </c>
      <c r="L438" s="3">
        <f t="shared" si="18"/>
        <v>1.199090909090909</v>
      </c>
      <c r="M438" t="str">
        <f t="shared" si="19"/>
        <v>Tuesday</v>
      </c>
      <c r="N438" t="str">
        <f t="shared" si="20"/>
        <v>Medium</v>
      </c>
    </row>
    <row r="439" spans="1:14" x14ac:dyDescent="0.35">
      <c r="A439">
        <v>1470907977</v>
      </c>
      <c r="B439" s="1">
        <v>42593</v>
      </c>
      <c r="C439" t="s">
        <v>11</v>
      </c>
      <c r="D439" t="s">
        <v>87</v>
      </c>
      <c r="E439" t="s">
        <v>89</v>
      </c>
      <c r="F439" t="s">
        <v>16</v>
      </c>
      <c r="G439" t="s">
        <v>90</v>
      </c>
      <c r="H439" s="2">
        <v>35</v>
      </c>
      <c r="I439" s="2">
        <v>1</v>
      </c>
      <c r="J439" s="3">
        <v>26.4</v>
      </c>
      <c r="K439" t="s">
        <v>13</v>
      </c>
      <c r="L439" s="3">
        <f t="shared" si="18"/>
        <v>0.75428571428571423</v>
      </c>
      <c r="M439" t="str">
        <f t="shared" si="19"/>
        <v>Thursday</v>
      </c>
      <c r="N439" t="str">
        <f t="shared" si="20"/>
        <v>Medium</v>
      </c>
    </row>
    <row r="440" spans="1:14" x14ac:dyDescent="0.35">
      <c r="A440">
        <v>1483636063</v>
      </c>
      <c r="B440" s="1">
        <v>42740</v>
      </c>
      <c r="C440" t="s">
        <v>11</v>
      </c>
      <c r="D440" t="s">
        <v>18</v>
      </c>
      <c r="E440" t="s">
        <v>89</v>
      </c>
      <c r="F440" t="s">
        <v>16</v>
      </c>
      <c r="G440" t="s">
        <v>91</v>
      </c>
      <c r="H440" s="2">
        <v>29</v>
      </c>
      <c r="I440" s="2">
        <v>1</v>
      </c>
      <c r="J440" s="3">
        <v>26.47</v>
      </c>
      <c r="K440" t="s">
        <v>13</v>
      </c>
      <c r="L440" s="3">
        <f t="shared" si="18"/>
        <v>0.91275862068965519</v>
      </c>
      <c r="M440" t="str">
        <f t="shared" si="19"/>
        <v>Thursday</v>
      </c>
      <c r="N440" t="str">
        <f t="shared" si="20"/>
        <v>Medium</v>
      </c>
    </row>
    <row r="441" spans="1:14" x14ac:dyDescent="0.35">
      <c r="A441">
        <v>1498594507</v>
      </c>
      <c r="B441" s="1">
        <v>42913</v>
      </c>
      <c r="C441" t="s">
        <v>62</v>
      </c>
      <c r="D441" t="s">
        <v>63</v>
      </c>
      <c r="E441" t="s">
        <v>89</v>
      </c>
      <c r="F441" t="s">
        <v>16</v>
      </c>
      <c r="G441" t="s">
        <v>90</v>
      </c>
      <c r="H441" s="2">
        <v>17</v>
      </c>
      <c r="I441" s="2">
        <v>1</v>
      </c>
      <c r="J441" s="3">
        <v>26.58</v>
      </c>
      <c r="K441" t="s">
        <v>13</v>
      </c>
      <c r="L441" s="3">
        <f t="shared" si="18"/>
        <v>1.5635294117647058</v>
      </c>
      <c r="M441" t="str">
        <f t="shared" si="19"/>
        <v>Tuesday</v>
      </c>
      <c r="N441" t="str">
        <f t="shared" si="20"/>
        <v>Medium</v>
      </c>
    </row>
    <row r="442" spans="1:14" x14ac:dyDescent="0.35">
      <c r="A442">
        <v>1472013394</v>
      </c>
      <c r="B442" s="1">
        <v>42605</v>
      </c>
      <c r="C442" t="s">
        <v>11</v>
      </c>
      <c r="D442" t="s">
        <v>18</v>
      </c>
      <c r="E442" t="s">
        <v>89</v>
      </c>
      <c r="F442" t="s">
        <v>12</v>
      </c>
      <c r="G442" t="s">
        <v>90</v>
      </c>
      <c r="H442" s="2">
        <v>13</v>
      </c>
      <c r="I442" s="2">
        <v>1</v>
      </c>
      <c r="J442" s="3">
        <v>26.82</v>
      </c>
      <c r="K442" t="s">
        <v>13</v>
      </c>
      <c r="L442" s="3">
        <f t="shared" si="18"/>
        <v>2.063076923076923</v>
      </c>
      <c r="M442" t="str">
        <f t="shared" si="19"/>
        <v>Tuesday</v>
      </c>
      <c r="N442" t="str">
        <f t="shared" si="20"/>
        <v>Medium</v>
      </c>
    </row>
    <row r="443" spans="1:14" x14ac:dyDescent="0.35">
      <c r="A443">
        <v>1472604143</v>
      </c>
      <c r="B443" s="1">
        <v>42612</v>
      </c>
      <c r="C443" t="s">
        <v>11</v>
      </c>
      <c r="D443" t="s">
        <v>18</v>
      </c>
      <c r="E443" t="s">
        <v>89</v>
      </c>
      <c r="F443" t="s">
        <v>12</v>
      </c>
      <c r="G443" t="s">
        <v>90</v>
      </c>
      <c r="H443" s="2">
        <v>13</v>
      </c>
      <c r="I443" s="2">
        <v>1</v>
      </c>
      <c r="J443" s="3">
        <v>26.89</v>
      </c>
      <c r="K443" t="s">
        <v>13</v>
      </c>
      <c r="L443" s="3">
        <f t="shared" si="18"/>
        <v>2.0684615384615386</v>
      </c>
      <c r="M443" t="str">
        <f t="shared" si="19"/>
        <v>Tuesday</v>
      </c>
      <c r="N443" t="str">
        <f t="shared" si="20"/>
        <v>Medium</v>
      </c>
    </row>
    <row r="444" spans="1:14" x14ac:dyDescent="0.35">
      <c r="A444">
        <v>1481767892</v>
      </c>
      <c r="B444" s="1">
        <v>42718</v>
      </c>
      <c r="C444" t="s">
        <v>40</v>
      </c>
      <c r="D444" t="s">
        <v>64</v>
      </c>
      <c r="E444" t="s">
        <v>89</v>
      </c>
      <c r="F444" t="s">
        <v>16</v>
      </c>
      <c r="G444" t="s">
        <v>91</v>
      </c>
      <c r="H444" s="2">
        <v>16</v>
      </c>
      <c r="I444" s="2">
        <v>1</v>
      </c>
      <c r="J444" s="3">
        <v>26.98</v>
      </c>
      <c r="K444" t="s">
        <v>13</v>
      </c>
      <c r="L444" s="3">
        <f t="shared" si="18"/>
        <v>1.68625</v>
      </c>
      <c r="M444" t="str">
        <f t="shared" si="19"/>
        <v>Wednesday</v>
      </c>
      <c r="N444" t="str">
        <f t="shared" si="20"/>
        <v>Medium</v>
      </c>
    </row>
    <row r="445" spans="1:14" x14ac:dyDescent="0.35">
      <c r="A445">
        <v>1475975939</v>
      </c>
      <c r="B445" s="1">
        <v>42651</v>
      </c>
      <c r="C445" t="s">
        <v>11</v>
      </c>
      <c r="D445" t="s">
        <v>87</v>
      </c>
      <c r="E445" t="s">
        <v>89</v>
      </c>
      <c r="F445" t="s">
        <v>12</v>
      </c>
      <c r="G445" t="s">
        <v>91</v>
      </c>
      <c r="H445" s="2">
        <v>24</v>
      </c>
      <c r="I445" s="2">
        <v>1</v>
      </c>
      <c r="J445" s="3">
        <v>26.98</v>
      </c>
      <c r="K445" t="s">
        <v>13</v>
      </c>
      <c r="L445" s="3">
        <f t="shared" si="18"/>
        <v>1.1241666666666668</v>
      </c>
      <c r="M445" t="str">
        <f t="shared" si="19"/>
        <v>Saturday</v>
      </c>
      <c r="N445" t="str">
        <f t="shared" si="20"/>
        <v>Medium</v>
      </c>
    </row>
    <row r="446" spans="1:14" x14ac:dyDescent="0.35">
      <c r="A446">
        <v>1491782620</v>
      </c>
      <c r="B446" s="1">
        <v>42834</v>
      </c>
      <c r="C446" t="s">
        <v>11</v>
      </c>
      <c r="D446" t="s">
        <v>87</v>
      </c>
      <c r="E446" t="s">
        <v>89</v>
      </c>
      <c r="F446" t="s">
        <v>12</v>
      </c>
      <c r="G446" t="s">
        <v>90</v>
      </c>
      <c r="H446" s="2">
        <v>22</v>
      </c>
      <c r="I446" s="2">
        <v>1</v>
      </c>
      <c r="J446" s="3">
        <v>26.98</v>
      </c>
      <c r="K446" t="s">
        <v>13</v>
      </c>
      <c r="L446" s="3">
        <f t="shared" si="18"/>
        <v>1.2263636363636363</v>
      </c>
      <c r="M446" t="str">
        <f t="shared" si="19"/>
        <v>Sunday</v>
      </c>
      <c r="N446" t="str">
        <f t="shared" si="20"/>
        <v>Medium</v>
      </c>
    </row>
    <row r="447" spans="1:14" x14ac:dyDescent="0.35">
      <c r="A447">
        <v>1474067906</v>
      </c>
      <c r="B447" s="1">
        <v>42629</v>
      </c>
      <c r="C447" t="s">
        <v>11</v>
      </c>
      <c r="D447" t="s">
        <v>87</v>
      </c>
      <c r="E447" t="s">
        <v>89</v>
      </c>
      <c r="F447" t="s">
        <v>12</v>
      </c>
      <c r="G447" t="s">
        <v>90</v>
      </c>
      <c r="H447" s="2">
        <v>20</v>
      </c>
      <c r="I447" s="2">
        <v>1</v>
      </c>
      <c r="J447" s="3">
        <v>27.19</v>
      </c>
      <c r="K447" t="s">
        <v>13</v>
      </c>
      <c r="L447" s="3">
        <f t="shared" si="18"/>
        <v>1.3595000000000002</v>
      </c>
      <c r="M447" t="str">
        <f t="shared" si="19"/>
        <v>Friday</v>
      </c>
      <c r="N447" t="str">
        <f t="shared" si="20"/>
        <v>Medium</v>
      </c>
    </row>
    <row r="448" spans="1:14" x14ac:dyDescent="0.35">
      <c r="A448">
        <v>1471611819</v>
      </c>
      <c r="B448" s="1">
        <v>42601</v>
      </c>
      <c r="C448" t="s">
        <v>11</v>
      </c>
      <c r="D448" t="s">
        <v>87</v>
      </c>
      <c r="E448" t="s">
        <v>89</v>
      </c>
      <c r="F448" t="s">
        <v>16</v>
      </c>
      <c r="G448" t="s">
        <v>90</v>
      </c>
      <c r="H448" s="2">
        <v>12</v>
      </c>
      <c r="I448" s="2">
        <v>1</v>
      </c>
      <c r="J448" s="3">
        <v>27.43</v>
      </c>
      <c r="K448" t="s">
        <v>13</v>
      </c>
      <c r="L448" s="3">
        <f t="shared" si="18"/>
        <v>2.2858333333333332</v>
      </c>
      <c r="M448" t="str">
        <f t="shared" si="19"/>
        <v>Friday</v>
      </c>
      <c r="N448" t="str">
        <f t="shared" si="20"/>
        <v>Medium</v>
      </c>
    </row>
    <row r="449" spans="1:14" x14ac:dyDescent="0.35">
      <c r="A449">
        <v>1501480779</v>
      </c>
      <c r="B449" s="1">
        <v>42946</v>
      </c>
      <c r="C449" t="s">
        <v>11</v>
      </c>
      <c r="D449" t="s">
        <v>87</v>
      </c>
      <c r="E449" t="s">
        <v>89</v>
      </c>
      <c r="F449" t="s">
        <v>16</v>
      </c>
      <c r="G449" t="s">
        <v>90</v>
      </c>
      <c r="H449" s="2">
        <v>23</v>
      </c>
      <c r="I449" s="2">
        <v>1</v>
      </c>
      <c r="J449" s="3">
        <v>27.6</v>
      </c>
      <c r="K449" t="s">
        <v>13</v>
      </c>
      <c r="L449" s="3">
        <f t="shared" si="18"/>
        <v>1.2</v>
      </c>
      <c r="M449" t="str">
        <f t="shared" si="19"/>
        <v>Sunday</v>
      </c>
      <c r="N449" t="str">
        <f t="shared" si="20"/>
        <v>Medium</v>
      </c>
    </row>
    <row r="450" spans="1:14" x14ac:dyDescent="0.35">
      <c r="A450">
        <v>1491507275</v>
      </c>
      <c r="B450" s="1">
        <v>42831</v>
      </c>
      <c r="C450" t="s">
        <v>11</v>
      </c>
      <c r="D450" t="s">
        <v>87</v>
      </c>
      <c r="E450" t="s">
        <v>89</v>
      </c>
      <c r="F450" t="s">
        <v>16</v>
      </c>
      <c r="G450" t="s">
        <v>90</v>
      </c>
      <c r="H450" s="2">
        <v>19</v>
      </c>
      <c r="I450" s="2">
        <v>1</v>
      </c>
      <c r="J450" s="3">
        <v>27.96</v>
      </c>
      <c r="K450" t="s">
        <v>13</v>
      </c>
      <c r="L450" s="3">
        <f t="shared" si="18"/>
        <v>1.4715789473684211</v>
      </c>
      <c r="M450" t="str">
        <f t="shared" si="19"/>
        <v>Thursday</v>
      </c>
      <c r="N450" t="str">
        <f t="shared" si="20"/>
        <v>Medium</v>
      </c>
    </row>
    <row r="451" spans="1:14" x14ac:dyDescent="0.35">
      <c r="A451">
        <v>1481681322</v>
      </c>
      <c r="B451" s="1">
        <v>42717</v>
      </c>
      <c r="C451" t="s">
        <v>11</v>
      </c>
      <c r="D451" t="s">
        <v>87</v>
      </c>
      <c r="E451" t="s">
        <v>89</v>
      </c>
      <c r="F451" t="s">
        <v>39</v>
      </c>
      <c r="G451" t="s">
        <v>91</v>
      </c>
      <c r="H451" s="2">
        <v>15</v>
      </c>
      <c r="I451" s="2">
        <v>1</v>
      </c>
      <c r="J451" s="3">
        <v>27.98</v>
      </c>
      <c r="K451" t="s">
        <v>13</v>
      </c>
      <c r="L451" s="3">
        <f t="shared" ref="L451:L514" si="21">J451/H451</f>
        <v>1.8653333333333333</v>
      </c>
      <c r="M451" t="str">
        <f t="shared" ref="M451:M514" si="22">TEXT(B451, "dddd")</f>
        <v>Tuesday</v>
      </c>
      <c r="N451" t="str">
        <f t="shared" ref="N451:N514" si="23">IF(J451&gt;200,"High",IF(J451&gt;=20,"Medium","Low"))</f>
        <v>Medium</v>
      </c>
    </row>
    <row r="452" spans="1:14" x14ac:dyDescent="0.35">
      <c r="A452">
        <v>1484008342</v>
      </c>
      <c r="B452" s="1">
        <v>42744</v>
      </c>
      <c r="C452" t="s">
        <v>11</v>
      </c>
      <c r="D452" t="s">
        <v>87</v>
      </c>
      <c r="E452" t="s">
        <v>89</v>
      </c>
      <c r="F452" t="s">
        <v>12</v>
      </c>
      <c r="G452" t="s">
        <v>91</v>
      </c>
      <c r="H452" s="2">
        <v>30</v>
      </c>
      <c r="I452" s="2">
        <v>1</v>
      </c>
      <c r="J452" s="3">
        <v>27.98</v>
      </c>
      <c r="K452" t="s">
        <v>13</v>
      </c>
      <c r="L452" s="3">
        <f t="shared" si="21"/>
        <v>0.93266666666666664</v>
      </c>
      <c r="M452" t="str">
        <f t="shared" si="22"/>
        <v>Monday</v>
      </c>
      <c r="N452" t="str">
        <f t="shared" si="23"/>
        <v>Medium</v>
      </c>
    </row>
    <row r="453" spans="1:14" x14ac:dyDescent="0.35">
      <c r="A453">
        <v>1482161849</v>
      </c>
      <c r="B453" s="1">
        <v>42723</v>
      </c>
      <c r="C453" t="s">
        <v>11</v>
      </c>
      <c r="D453" t="s">
        <v>54</v>
      </c>
      <c r="E453" t="s">
        <v>89</v>
      </c>
      <c r="F453" t="s">
        <v>12</v>
      </c>
      <c r="G453" t="s">
        <v>91</v>
      </c>
      <c r="H453" s="2">
        <v>68</v>
      </c>
      <c r="I453" s="2">
        <v>1</v>
      </c>
      <c r="J453" s="3">
        <v>27.98</v>
      </c>
      <c r="K453" t="s">
        <v>13</v>
      </c>
      <c r="L453" s="3">
        <f t="shared" si="21"/>
        <v>0.41147058823529414</v>
      </c>
      <c r="M453" t="str">
        <f t="shared" si="22"/>
        <v>Monday</v>
      </c>
      <c r="N453" t="str">
        <f t="shared" si="23"/>
        <v>Medium</v>
      </c>
    </row>
    <row r="454" spans="1:14" x14ac:dyDescent="0.35">
      <c r="A454">
        <v>1488366849</v>
      </c>
      <c r="B454" s="1">
        <v>42795</v>
      </c>
      <c r="C454" t="s">
        <v>11</v>
      </c>
      <c r="D454" t="s">
        <v>87</v>
      </c>
      <c r="E454" t="s">
        <v>89</v>
      </c>
      <c r="F454" t="s">
        <v>12</v>
      </c>
      <c r="G454" t="s">
        <v>90</v>
      </c>
      <c r="H454" s="2">
        <v>29</v>
      </c>
      <c r="I454" s="2">
        <v>1</v>
      </c>
      <c r="J454" s="3">
        <v>27.98</v>
      </c>
      <c r="K454" t="s">
        <v>13</v>
      </c>
      <c r="L454" s="3">
        <f t="shared" si="21"/>
        <v>0.96482758620689657</v>
      </c>
      <c r="M454" t="str">
        <f t="shared" si="22"/>
        <v>Wednesday</v>
      </c>
      <c r="N454" t="str">
        <f t="shared" si="23"/>
        <v>Medium</v>
      </c>
    </row>
    <row r="455" spans="1:14" x14ac:dyDescent="0.35">
      <c r="A455">
        <v>1480720381</v>
      </c>
      <c r="B455" s="1">
        <v>42706</v>
      </c>
      <c r="C455" t="s">
        <v>11</v>
      </c>
      <c r="D455" t="s">
        <v>18</v>
      </c>
      <c r="E455" t="s">
        <v>89</v>
      </c>
      <c r="F455" t="s">
        <v>16</v>
      </c>
      <c r="G455" t="s">
        <v>91</v>
      </c>
      <c r="H455" s="2">
        <v>38</v>
      </c>
      <c r="I455" s="2">
        <v>1</v>
      </c>
      <c r="J455" s="3">
        <v>27.98</v>
      </c>
      <c r="K455" t="s">
        <v>13</v>
      </c>
      <c r="L455" s="3">
        <f t="shared" si="21"/>
        <v>0.73631578947368426</v>
      </c>
      <c r="M455" t="str">
        <f t="shared" si="22"/>
        <v>Friday</v>
      </c>
      <c r="N455" t="str">
        <f t="shared" si="23"/>
        <v>Medium</v>
      </c>
    </row>
    <row r="456" spans="1:14" x14ac:dyDescent="0.35">
      <c r="A456">
        <v>1491546666</v>
      </c>
      <c r="B456" s="1">
        <v>42831</v>
      </c>
      <c r="C456" t="s">
        <v>11</v>
      </c>
      <c r="D456" t="s">
        <v>17</v>
      </c>
      <c r="E456" t="s">
        <v>89</v>
      </c>
      <c r="F456" t="s">
        <v>12</v>
      </c>
      <c r="G456" t="s">
        <v>90</v>
      </c>
      <c r="H456" s="2">
        <v>16</v>
      </c>
      <c r="I456" s="2">
        <v>1</v>
      </c>
      <c r="J456" s="3">
        <v>27.98</v>
      </c>
      <c r="K456" t="s">
        <v>13</v>
      </c>
      <c r="L456" s="3">
        <f t="shared" si="21"/>
        <v>1.74875</v>
      </c>
      <c r="M456" t="str">
        <f t="shared" si="22"/>
        <v>Thursday</v>
      </c>
      <c r="N456" t="str">
        <f t="shared" si="23"/>
        <v>Medium</v>
      </c>
    </row>
    <row r="457" spans="1:14" x14ac:dyDescent="0.35">
      <c r="A457">
        <v>1488734738</v>
      </c>
      <c r="B457" s="1">
        <v>42799</v>
      </c>
      <c r="C457" t="s">
        <v>40</v>
      </c>
      <c r="D457" t="s">
        <v>87</v>
      </c>
      <c r="E457" t="s">
        <v>89</v>
      </c>
      <c r="F457" t="s">
        <v>16</v>
      </c>
      <c r="G457" t="s">
        <v>90</v>
      </c>
      <c r="H457" s="2">
        <v>21</v>
      </c>
      <c r="I457" s="2">
        <v>1</v>
      </c>
      <c r="J457" s="3">
        <v>27.98</v>
      </c>
      <c r="K457" t="s">
        <v>13</v>
      </c>
      <c r="L457" s="3">
        <f t="shared" si="21"/>
        <v>1.3323809523809524</v>
      </c>
      <c r="M457" t="str">
        <f t="shared" si="22"/>
        <v>Sunday</v>
      </c>
      <c r="N457" t="str">
        <f t="shared" si="23"/>
        <v>Medium</v>
      </c>
    </row>
    <row r="458" spans="1:14" x14ac:dyDescent="0.35">
      <c r="A458">
        <v>1493916581</v>
      </c>
      <c r="B458" s="1">
        <v>42859</v>
      </c>
      <c r="C458" t="s">
        <v>11</v>
      </c>
      <c r="D458" t="s">
        <v>65</v>
      </c>
      <c r="E458" t="s">
        <v>89</v>
      </c>
      <c r="F458" t="s">
        <v>12</v>
      </c>
      <c r="G458" t="s">
        <v>91</v>
      </c>
      <c r="H458" s="2">
        <v>24</v>
      </c>
      <c r="I458" s="2">
        <v>1</v>
      </c>
      <c r="J458" s="3">
        <v>27.98</v>
      </c>
      <c r="K458" t="s">
        <v>13</v>
      </c>
      <c r="L458" s="3">
        <f t="shared" si="21"/>
        <v>1.1658333333333333</v>
      </c>
      <c r="M458" t="str">
        <f t="shared" si="22"/>
        <v>Thursday</v>
      </c>
      <c r="N458" t="str">
        <f t="shared" si="23"/>
        <v>Medium</v>
      </c>
    </row>
    <row r="459" spans="1:14" x14ac:dyDescent="0.35">
      <c r="A459">
        <v>1487262799</v>
      </c>
      <c r="B459" s="1">
        <v>42782</v>
      </c>
      <c r="C459" t="s">
        <v>11</v>
      </c>
      <c r="D459" t="s">
        <v>15</v>
      </c>
      <c r="E459" t="s">
        <v>89</v>
      </c>
      <c r="F459" t="s">
        <v>12</v>
      </c>
      <c r="G459" t="s">
        <v>90</v>
      </c>
      <c r="H459" s="2">
        <v>31</v>
      </c>
      <c r="I459" s="2">
        <v>1</v>
      </c>
      <c r="J459" s="3">
        <v>27.98</v>
      </c>
      <c r="K459" t="s">
        <v>13</v>
      </c>
      <c r="L459" s="3">
        <f t="shared" si="21"/>
        <v>0.90258064516129033</v>
      </c>
      <c r="M459" t="str">
        <f t="shared" si="22"/>
        <v>Thursday</v>
      </c>
      <c r="N459" t="str">
        <f t="shared" si="23"/>
        <v>Medium</v>
      </c>
    </row>
    <row r="460" spans="1:14" x14ac:dyDescent="0.35">
      <c r="A460">
        <v>1491277899</v>
      </c>
      <c r="B460" s="1">
        <v>42828</v>
      </c>
      <c r="C460" t="s">
        <v>11</v>
      </c>
      <c r="D460" t="s">
        <v>87</v>
      </c>
      <c r="E460" t="s">
        <v>89</v>
      </c>
      <c r="F460" t="s">
        <v>12</v>
      </c>
      <c r="G460" t="s">
        <v>90</v>
      </c>
      <c r="H460" s="2">
        <v>19</v>
      </c>
      <c r="I460" s="2">
        <v>1</v>
      </c>
      <c r="J460" s="3">
        <v>28.37</v>
      </c>
      <c r="K460" t="s">
        <v>13</v>
      </c>
      <c r="L460" s="3">
        <f t="shared" si="21"/>
        <v>1.4931578947368422</v>
      </c>
      <c r="M460" t="str">
        <f t="shared" si="22"/>
        <v>Monday</v>
      </c>
      <c r="N460" t="str">
        <f t="shared" si="23"/>
        <v>Medium</v>
      </c>
    </row>
    <row r="461" spans="1:14" x14ac:dyDescent="0.35">
      <c r="A461">
        <v>1472747228</v>
      </c>
      <c r="B461" s="1">
        <v>42614</v>
      </c>
      <c r="C461" t="s">
        <v>11</v>
      </c>
      <c r="D461" t="s">
        <v>87</v>
      </c>
      <c r="E461" t="s">
        <v>89</v>
      </c>
      <c r="F461" t="s">
        <v>12</v>
      </c>
      <c r="G461" t="s">
        <v>90</v>
      </c>
      <c r="H461" s="2">
        <v>23</v>
      </c>
      <c r="I461" s="2">
        <v>1</v>
      </c>
      <c r="J461" s="3">
        <v>28.48</v>
      </c>
      <c r="K461" t="s">
        <v>13</v>
      </c>
      <c r="L461" s="3">
        <f t="shared" si="21"/>
        <v>1.2382608695652173</v>
      </c>
      <c r="M461" t="str">
        <f t="shared" si="22"/>
        <v>Thursday</v>
      </c>
      <c r="N461" t="str">
        <f t="shared" si="23"/>
        <v>Medium</v>
      </c>
    </row>
    <row r="462" spans="1:14" x14ac:dyDescent="0.35">
      <c r="A462">
        <v>1498353417</v>
      </c>
      <c r="B462" s="1">
        <v>42910</v>
      </c>
      <c r="C462" t="s">
        <v>11</v>
      </c>
      <c r="D462" t="s">
        <v>87</v>
      </c>
      <c r="E462" t="s">
        <v>89</v>
      </c>
      <c r="F462" t="s">
        <v>39</v>
      </c>
      <c r="G462" t="s">
        <v>91</v>
      </c>
      <c r="H462" s="2">
        <v>25</v>
      </c>
      <c r="I462" s="2">
        <v>1</v>
      </c>
      <c r="J462" s="3">
        <v>28.88</v>
      </c>
      <c r="K462" t="s">
        <v>13</v>
      </c>
      <c r="L462" s="3">
        <f t="shared" si="21"/>
        <v>1.1552</v>
      </c>
      <c r="M462" t="str">
        <f t="shared" si="22"/>
        <v>Saturday</v>
      </c>
      <c r="N462" t="str">
        <f t="shared" si="23"/>
        <v>Medium</v>
      </c>
    </row>
    <row r="463" spans="1:14" x14ac:dyDescent="0.35">
      <c r="A463">
        <v>1475706649</v>
      </c>
      <c r="B463" s="1">
        <v>42648</v>
      </c>
      <c r="C463" t="s">
        <v>66</v>
      </c>
      <c r="D463" t="s">
        <v>67</v>
      </c>
      <c r="E463" t="s">
        <v>89</v>
      </c>
      <c r="F463" t="s">
        <v>12</v>
      </c>
      <c r="G463" t="s">
        <v>91</v>
      </c>
      <c r="H463" s="2">
        <v>33</v>
      </c>
      <c r="I463" s="2">
        <v>1</v>
      </c>
      <c r="J463" s="3">
        <v>28.93</v>
      </c>
      <c r="K463" t="s">
        <v>13</v>
      </c>
      <c r="L463" s="3">
        <f t="shared" si="21"/>
        <v>0.87666666666666671</v>
      </c>
      <c r="M463" t="str">
        <f t="shared" si="22"/>
        <v>Wednesday</v>
      </c>
      <c r="N463" t="str">
        <f t="shared" si="23"/>
        <v>Medium</v>
      </c>
    </row>
    <row r="464" spans="1:14" x14ac:dyDescent="0.35">
      <c r="A464">
        <v>1470999005</v>
      </c>
      <c r="B464" s="1">
        <v>42594</v>
      </c>
      <c r="C464" t="s">
        <v>11</v>
      </c>
      <c r="D464" t="s">
        <v>87</v>
      </c>
      <c r="E464" t="s">
        <v>89</v>
      </c>
      <c r="F464" t="s">
        <v>12</v>
      </c>
      <c r="G464" t="s">
        <v>90</v>
      </c>
      <c r="H464" s="2">
        <v>24</v>
      </c>
      <c r="I464" s="2">
        <v>1</v>
      </c>
      <c r="J464" s="3">
        <v>28.95</v>
      </c>
      <c r="K464" t="s">
        <v>13</v>
      </c>
      <c r="L464" s="3">
        <f t="shared" si="21"/>
        <v>1.20625</v>
      </c>
      <c r="M464" t="str">
        <f t="shared" si="22"/>
        <v>Friday</v>
      </c>
      <c r="N464" t="str">
        <f t="shared" si="23"/>
        <v>Medium</v>
      </c>
    </row>
    <row r="465" spans="1:14" x14ac:dyDescent="0.35">
      <c r="A465">
        <v>1497446733</v>
      </c>
      <c r="B465" s="1">
        <v>42900</v>
      </c>
      <c r="C465" t="s">
        <v>11</v>
      </c>
      <c r="D465" t="s">
        <v>87</v>
      </c>
      <c r="E465" t="s">
        <v>89</v>
      </c>
      <c r="F465" t="s">
        <v>12</v>
      </c>
      <c r="G465" t="s">
        <v>90</v>
      </c>
      <c r="H465" s="2">
        <v>50</v>
      </c>
      <c r="I465" s="2">
        <v>1</v>
      </c>
      <c r="J465" s="3">
        <v>28.96</v>
      </c>
      <c r="K465" t="s">
        <v>13</v>
      </c>
      <c r="L465" s="3">
        <f t="shared" si="21"/>
        <v>0.57920000000000005</v>
      </c>
      <c r="M465" t="str">
        <f t="shared" si="22"/>
        <v>Wednesday</v>
      </c>
      <c r="N465" t="str">
        <f t="shared" si="23"/>
        <v>Medium</v>
      </c>
    </row>
    <row r="466" spans="1:14" x14ac:dyDescent="0.35">
      <c r="A466">
        <v>1477437983</v>
      </c>
      <c r="B466" s="1">
        <v>42668</v>
      </c>
      <c r="C466" t="s">
        <v>11</v>
      </c>
      <c r="D466" t="s">
        <v>68</v>
      </c>
      <c r="E466" t="s">
        <v>89</v>
      </c>
      <c r="F466" t="s">
        <v>16</v>
      </c>
      <c r="G466" t="s">
        <v>91</v>
      </c>
      <c r="H466" s="2">
        <v>27</v>
      </c>
      <c r="I466" s="2">
        <v>1</v>
      </c>
      <c r="J466" s="3">
        <v>28.97</v>
      </c>
      <c r="K466" t="s">
        <v>13</v>
      </c>
      <c r="L466" s="3">
        <f t="shared" si="21"/>
        <v>1.0729629629629629</v>
      </c>
      <c r="M466" t="str">
        <f t="shared" si="22"/>
        <v>Tuesday</v>
      </c>
      <c r="N466" t="str">
        <f t="shared" si="23"/>
        <v>Medium</v>
      </c>
    </row>
    <row r="467" spans="1:14" x14ac:dyDescent="0.35">
      <c r="A467">
        <v>1486231286</v>
      </c>
      <c r="B467" s="1">
        <v>42770</v>
      </c>
      <c r="C467" t="s">
        <v>11</v>
      </c>
      <c r="D467" t="s">
        <v>87</v>
      </c>
      <c r="E467" t="s">
        <v>89</v>
      </c>
      <c r="F467" t="s">
        <v>16</v>
      </c>
      <c r="G467" t="s">
        <v>91</v>
      </c>
      <c r="H467" s="2">
        <v>31</v>
      </c>
      <c r="I467" s="2">
        <v>1</v>
      </c>
      <c r="J467" s="3">
        <v>28.97</v>
      </c>
      <c r="K467" t="s">
        <v>13</v>
      </c>
      <c r="L467" s="3">
        <f t="shared" si="21"/>
        <v>0.934516129032258</v>
      </c>
      <c r="M467" t="str">
        <f t="shared" si="22"/>
        <v>Saturday</v>
      </c>
      <c r="N467" t="str">
        <f t="shared" si="23"/>
        <v>Medium</v>
      </c>
    </row>
    <row r="468" spans="1:14" x14ac:dyDescent="0.35">
      <c r="A468">
        <v>1490748553</v>
      </c>
      <c r="B468" s="1">
        <v>42822</v>
      </c>
      <c r="C468" t="s">
        <v>11</v>
      </c>
      <c r="D468" t="s">
        <v>38</v>
      </c>
      <c r="E468" t="s">
        <v>89</v>
      </c>
      <c r="F468" t="s">
        <v>16</v>
      </c>
      <c r="G468" t="s">
        <v>90</v>
      </c>
      <c r="H468" s="2">
        <v>13</v>
      </c>
      <c r="I468" s="2">
        <v>1</v>
      </c>
      <c r="J468" s="3">
        <v>28.98</v>
      </c>
      <c r="K468" t="s">
        <v>13</v>
      </c>
      <c r="L468" s="3">
        <f t="shared" si="21"/>
        <v>2.2292307692307691</v>
      </c>
      <c r="M468" t="str">
        <f t="shared" si="22"/>
        <v>Tuesday</v>
      </c>
      <c r="N468" t="str">
        <f t="shared" si="23"/>
        <v>Medium</v>
      </c>
    </row>
    <row r="469" spans="1:14" x14ac:dyDescent="0.35">
      <c r="A469">
        <v>1485883654</v>
      </c>
      <c r="B469" s="1">
        <v>42766</v>
      </c>
      <c r="C469" t="s">
        <v>11</v>
      </c>
      <c r="D469" t="s">
        <v>87</v>
      </c>
      <c r="E469" t="s">
        <v>89</v>
      </c>
      <c r="F469" t="s">
        <v>12</v>
      </c>
      <c r="G469" t="s">
        <v>91</v>
      </c>
      <c r="H469" s="2">
        <v>22</v>
      </c>
      <c r="I469" s="2">
        <v>1</v>
      </c>
      <c r="J469" s="3">
        <v>28.98</v>
      </c>
      <c r="K469" t="s">
        <v>13</v>
      </c>
      <c r="L469" s="3">
        <f t="shared" si="21"/>
        <v>1.3172727272727274</v>
      </c>
      <c r="M469" t="str">
        <f t="shared" si="22"/>
        <v>Tuesday</v>
      </c>
      <c r="N469" t="str">
        <f t="shared" si="23"/>
        <v>Medium</v>
      </c>
    </row>
    <row r="470" spans="1:14" x14ac:dyDescent="0.35">
      <c r="A470">
        <v>1485313789</v>
      </c>
      <c r="B470" s="1">
        <v>42759</v>
      </c>
      <c r="C470" t="s">
        <v>11</v>
      </c>
      <c r="D470" t="s">
        <v>46</v>
      </c>
      <c r="E470" t="s">
        <v>89</v>
      </c>
      <c r="F470" t="s">
        <v>16</v>
      </c>
      <c r="G470" t="s">
        <v>91</v>
      </c>
      <c r="H470" s="2">
        <v>23</v>
      </c>
      <c r="I470" s="2">
        <v>1</v>
      </c>
      <c r="J470" s="3">
        <v>28.98</v>
      </c>
      <c r="K470" t="s">
        <v>13</v>
      </c>
      <c r="L470" s="3">
        <f t="shared" si="21"/>
        <v>1.26</v>
      </c>
      <c r="M470" t="str">
        <f t="shared" si="22"/>
        <v>Tuesday</v>
      </c>
      <c r="N470" t="str">
        <f t="shared" si="23"/>
        <v>Medium</v>
      </c>
    </row>
    <row r="471" spans="1:14" x14ac:dyDescent="0.35">
      <c r="A471">
        <v>1471552163</v>
      </c>
      <c r="B471" s="1">
        <v>42600</v>
      </c>
      <c r="C471" t="s">
        <v>11</v>
      </c>
      <c r="D471" t="s">
        <v>27</v>
      </c>
      <c r="E471" t="s">
        <v>89</v>
      </c>
      <c r="F471" t="s">
        <v>16</v>
      </c>
      <c r="G471" t="s">
        <v>90</v>
      </c>
      <c r="H471" s="2">
        <v>29</v>
      </c>
      <c r="I471" s="2">
        <v>1</v>
      </c>
      <c r="J471" s="3">
        <v>29.45</v>
      </c>
      <c r="K471" t="s">
        <v>13</v>
      </c>
      <c r="L471" s="3">
        <f t="shared" si="21"/>
        <v>1.0155172413793103</v>
      </c>
      <c r="M471" t="str">
        <f t="shared" si="22"/>
        <v>Thursday</v>
      </c>
      <c r="N471" t="str">
        <f t="shared" si="23"/>
        <v>Medium</v>
      </c>
    </row>
    <row r="472" spans="1:14" x14ac:dyDescent="0.35">
      <c r="A472">
        <v>1489709216</v>
      </c>
      <c r="B472" s="1">
        <v>42810</v>
      </c>
      <c r="C472" t="s">
        <v>11</v>
      </c>
      <c r="D472" t="s">
        <v>87</v>
      </c>
      <c r="E472" t="s">
        <v>89</v>
      </c>
      <c r="F472" t="s">
        <v>12</v>
      </c>
      <c r="G472" t="s">
        <v>91</v>
      </c>
      <c r="H472" s="2">
        <v>21</v>
      </c>
      <c r="I472" s="2">
        <v>1</v>
      </c>
      <c r="J472" s="3">
        <v>29.49</v>
      </c>
      <c r="K472" t="s">
        <v>13</v>
      </c>
      <c r="L472" s="3">
        <f t="shared" si="21"/>
        <v>1.4042857142857141</v>
      </c>
      <c r="M472" t="str">
        <f t="shared" si="22"/>
        <v>Thursday</v>
      </c>
      <c r="N472" t="str">
        <f t="shared" si="23"/>
        <v>Medium</v>
      </c>
    </row>
    <row r="473" spans="1:14" x14ac:dyDescent="0.35">
      <c r="A473">
        <v>1478289196</v>
      </c>
      <c r="B473" s="1">
        <v>42678</v>
      </c>
      <c r="C473" t="s">
        <v>11</v>
      </c>
      <c r="D473" t="s">
        <v>14</v>
      </c>
      <c r="E473" t="s">
        <v>89</v>
      </c>
      <c r="F473" t="s">
        <v>16</v>
      </c>
      <c r="G473" t="s">
        <v>91</v>
      </c>
      <c r="H473" s="2">
        <v>17</v>
      </c>
      <c r="I473" s="2">
        <v>1</v>
      </c>
      <c r="J473" s="3">
        <v>29.7</v>
      </c>
      <c r="K473" t="s">
        <v>13</v>
      </c>
      <c r="L473" s="3">
        <f t="shared" si="21"/>
        <v>1.7470588235294118</v>
      </c>
      <c r="M473" t="str">
        <f t="shared" si="22"/>
        <v>Friday</v>
      </c>
      <c r="N473" t="str">
        <f t="shared" si="23"/>
        <v>Medium</v>
      </c>
    </row>
    <row r="474" spans="1:14" x14ac:dyDescent="0.35">
      <c r="A474">
        <v>1500171165</v>
      </c>
      <c r="B474" s="1">
        <v>42931</v>
      </c>
      <c r="C474" t="s">
        <v>11</v>
      </c>
      <c r="D474" t="s">
        <v>14</v>
      </c>
      <c r="E474" t="s">
        <v>89</v>
      </c>
      <c r="F474" t="s">
        <v>16</v>
      </c>
      <c r="G474" t="s">
        <v>91</v>
      </c>
      <c r="H474" s="2">
        <v>16</v>
      </c>
      <c r="I474" s="2">
        <v>1</v>
      </c>
      <c r="J474" s="3">
        <v>29.94</v>
      </c>
      <c r="K474" t="s">
        <v>13</v>
      </c>
      <c r="L474" s="3">
        <f t="shared" si="21"/>
        <v>1.8712500000000001</v>
      </c>
      <c r="M474" t="str">
        <f t="shared" si="22"/>
        <v>Saturday</v>
      </c>
      <c r="N474" t="str">
        <f t="shared" si="23"/>
        <v>Medium</v>
      </c>
    </row>
    <row r="475" spans="1:14" x14ac:dyDescent="0.35">
      <c r="A475">
        <v>1497220493</v>
      </c>
      <c r="B475" s="1">
        <v>42897</v>
      </c>
      <c r="C475" t="s">
        <v>11</v>
      </c>
      <c r="D475" t="s">
        <v>87</v>
      </c>
      <c r="E475" t="s">
        <v>89</v>
      </c>
      <c r="F475" t="s">
        <v>12</v>
      </c>
      <c r="G475" t="s">
        <v>91</v>
      </c>
      <c r="H475" s="2">
        <v>15</v>
      </c>
      <c r="I475" s="2">
        <v>1</v>
      </c>
      <c r="J475" s="3">
        <v>29.96</v>
      </c>
      <c r="K475" t="s">
        <v>13</v>
      </c>
      <c r="L475" s="3">
        <f t="shared" si="21"/>
        <v>1.9973333333333334</v>
      </c>
      <c r="M475" t="str">
        <f t="shared" si="22"/>
        <v>Sunday</v>
      </c>
      <c r="N475" t="str">
        <f t="shared" si="23"/>
        <v>Medium</v>
      </c>
    </row>
    <row r="476" spans="1:14" x14ac:dyDescent="0.35">
      <c r="A476">
        <v>1494792020</v>
      </c>
      <c r="B476" s="1">
        <v>42869</v>
      </c>
      <c r="C476" t="s">
        <v>11</v>
      </c>
      <c r="D476" t="s">
        <v>87</v>
      </c>
      <c r="E476" t="s">
        <v>89</v>
      </c>
      <c r="F476" t="s">
        <v>12</v>
      </c>
      <c r="G476" t="s">
        <v>90</v>
      </c>
      <c r="H476" s="2">
        <v>18</v>
      </c>
      <c r="I476" s="2">
        <v>1</v>
      </c>
      <c r="J476" s="3">
        <v>29.97</v>
      </c>
      <c r="K476" t="s">
        <v>13</v>
      </c>
      <c r="L476" s="3">
        <f t="shared" si="21"/>
        <v>1.665</v>
      </c>
      <c r="M476" t="str">
        <f t="shared" si="22"/>
        <v>Sunday</v>
      </c>
      <c r="N476" t="str">
        <f t="shared" si="23"/>
        <v>Medium</v>
      </c>
    </row>
    <row r="477" spans="1:14" x14ac:dyDescent="0.35">
      <c r="A477">
        <v>1478232588</v>
      </c>
      <c r="B477" s="1">
        <v>42677</v>
      </c>
      <c r="C477" t="s">
        <v>11</v>
      </c>
      <c r="D477" t="s">
        <v>87</v>
      </c>
      <c r="E477" t="s">
        <v>89</v>
      </c>
      <c r="F477" t="s">
        <v>16</v>
      </c>
      <c r="G477" t="s">
        <v>91</v>
      </c>
      <c r="H477" s="2">
        <v>37</v>
      </c>
      <c r="I477" s="2">
        <v>1</v>
      </c>
      <c r="J477" s="3">
        <v>29.98</v>
      </c>
      <c r="K477" t="s">
        <v>13</v>
      </c>
      <c r="L477" s="3">
        <f t="shared" si="21"/>
        <v>0.81027027027027032</v>
      </c>
      <c r="M477" t="str">
        <f t="shared" si="22"/>
        <v>Thursday</v>
      </c>
      <c r="N477" t="str">
        <f t="shared" si="23"/>
        <v>Medium</v>
      </c>
    </row>
    <row r="478" spans="1:14" x14ac:dyDescent="0.35">
      <c r="A478">
        <v>1489871818</v>
      </c>
      <c r="B478" s="1">
        <v>42812</v>
      </c>
      <c r="C478" t="s">
        <v>11</v>
      </c>
      <c r="D478" t="s">
        <v>87</v>
      </c>
      <c r="E478" t="s">
        <v>89</v>
      </c>
      <c r="F478" t="s">
        <v>12</v>
      </c>
      <c r="G478" t="s">
        <v>91</v>
      </c>
      <c r="H478" s="2">
        <v>14</v>
      </c>
      <c r="I478" s="2">
        <v>1</v>
      </c>
      <c r="J478" s="3">
        <v>29.98</v>
      </c>
      <c r="K478" t="s">
        <v>13</v>
      </c>
      <c r="L478" s="3">
        <f t="shared" si="21"/>
        <v>2.1414285714285715</v>
      </c>
      <c r="M478" t="str">
        <f t="shared" si="22"/>
        <v>Saturday</v>
      </c>
      <c r="N478" t="str">
        <f t="shared" si="23"/>
        <v>Medium</v>
      </c>
    </row>
    <row r="479" spans="1:14" x14ac:dyDescent="0.35">
      <c r="A479">
        <v>1487843143</v>
      </c>
      <c r="B479" s="1">
        <v>42789</v>
      </c>
      <c r="C479" t="s">
        <v>11</v>
      </c>
      <c r="D479" t="s">
        <v>23</v>
      </c>
      <c r="E479" t="s">
        <v>89</v>
      </c>
      <c r="F479" t="s">
        <v>12</v>
      </c>
      <c r="G479" t="s">
        <v>90</v>
      </c>
      <c r="H479" s="2">
        <v>25</v>
      </c>
      <c r="I479" s="2">
        <v>1</v>
      </c>
      <c r="J479" s="3">
        <v>29.98</v>
      </c>
      <c r="K479" t="s">
        <v>13</v>
      </c>
      <c r="L479" s="3">
        <f t="shared" si="21"/>
        <v>1.1992</v>
      </c>
      <c r="M479" t="str">
        <f t="shared" si="22"/>
        <v>Thursday</v>
      </c>
      <c r="N479" t="str">
        <f t="shared" si="23"/>
        <v>Medium</v>
      </c>
    </row>
    <row r="480" spans="1:14" x14ac:dyDescent="0.35">
      <c r="A480">
        <v>1475517981</v>
      </c>
      <c r="B480" s="1">
        <v>42646</v>
      </c>
      <c r="C480" t="s">
        <v>11</v>
      </c>
      <c r="D480" t="s">
        <v>87</v>
      </c>
      <c r="E480" t="s">
        <v>89</v>
      </c>
      <c r="F480" t="s">
        <v>16</v>
      </c>
      <c r="G480" t="s">
        <v>91</v>
      </c>
      <c r="H480" s="2">
        <v>10</v>
      </c>
      <c r="I480" s="2">
        <v>1</v>
      </c>
      <c r="J480" s="3">
        <v>29.99</v>
      </c>
      <c r="K480" t="s">
        <v>13</v>
      </c>
      <c r="L480" s="3">
        <f t="shared" si="21"/>
        <v>2.9989999999999997</v>
      </c>
      <c r="M480" t="str">
        <f t="shared" si="22"/>
        <v>Monday</v>
      </c>
      <c r="N480" t="str">
        <f t="shared" si="23"/>
        <v>Medium</v>
      </c>
    </row>
    <row r="481" spans="1:14" x14ac:dyDescent="0.35">
      <c r="A481">
        <v>1473716984</v>
      </c>
      <c r="B481" s="1">
        <v>42625</v>
      </c>
      <c r="C481" t="s">
        <v>11</v>
      </c>
      <c r="D481" t="s">
        <v>87</v>
      </c>
      <c r="E481" t="s">
        <v>89</v>
      </c>
      <c r="F481" t="s">
        <v>12</v>
      </c>
      <c r="G481" t="s">
        <v>90</v>
      </c>
      <c r="H481" s="2">
        <v>30</v>
      </c>
      <c r="I481" s="2">
        <v>1</v>
      </c>
      <c r="J481" s="3">
        <v>30.02</v>
      </c>
      <c r="K481" t="s">
        <v>13</v>
      </c>
      <c r="L481" s="3">
        <f t="shared" si="21"/>
        <v>1.0006666666666666</v>
      </c>
      <c r="M481" t="str">
        <f t="shared" si="22"/>
        <v>Monday</v>
      </c>
      <c r="N481" t="str">
        <f t="shared" si="23"/>
        <v>Medium</v>
      </c>
    </row>
    <row r="482" spans="1:14" x14ac:dyDescent="0.35">
      <c r="A482">
        <v>1500227828</v>
      </c>
      <c r="B482" s="1">
        <v>42932</v>
      </c>
      <c r="C482" t="s">
        <v>11</v>
      </c>
      <c r="D482" t="s">
        <v>37</v>
      </c>
      <c r="E482" t="s">
        <v>89</v>
      </c>
      <c r="F482" t="s">
        <v>12</v>
      </c>
      <c r="G482" t="s">
        <v>90</v>
      </c>
      <c r="H482" s="2">
        <v>25</v>
      </c>
      <c r="I482" s="2">
        <v>1</v>
      </c>
      <c r="J482" s="3">
        <v>30.28</v>
      </c>
      <c r="K482" t="s">
        <v>13</v>
      </c>
      <c r="L482" s="3">
        <f t="shared" si="21"/>
        <v>1.2112000000000001</v>
      </c>
      <c r="M482" t="str">
        <f t="shared" si="22"/>
        <v>Sunday</v>
      </c>
      <c r="N482" t="str">
        <f t="shared" si="23"/>
        <v>Medium</v>
      </c>
    </row>
    <row r="483" spans="1:14" x14ac:dyDescent="0.35">
      <c r="A483">
        <v>1501566744</v>
      </c>
      <c r="B483" s="1">
        <v>42947</v>
      </c>
      <c r="C483" t="s">
        <v>11</v>
      </c>
      <c r="D483" t="s">
        <v>87</v>
      </c>
      <c r="E483" t="s">
        <v>89</v>
      </c>
      <c r="F483" t="s">
        <v>12</v>
      </c>
      <c r="G483" t="s">
        <v>90</v>
      </c>
      <c r="H483" s="2">
        <v>40</v>
      </c>
      <c r="I483" s="2">
        <v>1</v>
      </c>
      <c r="J483" s="3">
        <v>30.28</v>
      </c>
      <c r="K483" t="s">
        <v>13</v>
      </c>
      <c r="L483" s="3">
        <f t="shared" si="21"/>
        <v>0.75700000000000001</v>
      </c>
      <c r="M483" t="str">
        <f t="shared" si="22"/>
        <v>Monday</v>
      </c>
      <c r="N483" t="str">
        <f t="shared" si="23"/>
        <v>Medium</v>
      </c>
    </row>
    <row r="484" spans="1:14" x14ac:dyDescent="0.35">
      <c r="A484">
        <v>1496083358</v>
      </c>
      <c r="B484" s="1">
        <v>42884</v>
      </c>
      <c r="C484" t="s">
        <v>11</v>
      </c>
      <c r="D484" t="s">
        <v>87</v>
      </c>
      <c r="E484" t="s">
        <v>89</v>
      </c>
      <c r="F484" t="s">
        <v>16</v>
      </c>
      <c r="G484" t="s">
        <v>91</v>
      </c>
      <c r="H484" s="2">
        <v>17</v>
      </c>
      <c r="I484" s="2">
        <v>1</v>
      </c>
      <c r="J484" s="3">
        <v>30.79</v>
      </c>
      <c r="K484" t="s">
        <v>13</v>
      </c>
      <c r="L484" s="3">
        <f t="shared" si="21"/>
        <v>1.8111764705882352</v>
      </c>
      <c r="M484" t="str">
        <f t="shared" si="22"/>
        <v>Monday</v>
      </c>
      <c r="N484" t="str">
        <f t="shared" si="23"/>
        <v>Medium</v>
      </c>
    </row>
    <row r="485" spans="1:14" x14ac:dyDescent="0.35">
      <c r="A485">
        <v>1487540732</v>
      </c>
      <c r="B485" s="1">
        <v>42785</v>
      </c>
      <c r="C485" t="s">
        <v>40</v>
      </c>
      <c r="D485" t="s">
        <v>87</v>
      </c>
      <c r="E485" t="s">
        <v>89</v>
      </c>
      <c r="F485" t="s">
        <v>16</v>
      </c>
      <c r="G485" t="s">
        <v>91</v>
      </c>
      <c r="H485" s="2">
        <v>39</v>
      </c>
      <c r="I485" s="2">
        <v>1</v>
      </c>
      <c r="J485" s="3">
        <v>30.95</v>
      </c>
      <c r="K485" t="s">
        <v>13</v>
      </c>
      <c r="L485" s="3">
        <f t="shared" si="21"/>
        <v>0.79358974358974355</v>
      </c>
      <c r="M485" t="str">
        <f t="shared" si="22"/>
        <v>Sunday</v>
      </c>
      <c r="N485" t="str">
        <f t="shared" si="23"/>
        <v>Medium</v>
      </c>
    </row>
    <row r="486" spans="1:14" x14ac:dyDescent="0.35">
      <c r="A486">
        <v>1486500585</v>
      </c>
      <c r="B486" s="1">
        <v>42773</v>
      </c>
      <c r="C486" t="s">
        <v>11</v>
      </c>
      <c r="D486" t="s">
        <v>87</v>
      </c>
      <c r="E486" t="s">
        <v>89</v>
      </c>
      <c r="F486" t="s">
        <v>39</v>
      </c>
      <c r="G486" t="s">
        <v>91</v>
      </c>
      <c r="H486" s="2">
        <v>18</v>
      </c>
      <c r="I486" s="2">
        <v>1</v>
      </c>
      <c r="J486" s="3">
        <v>30.95</v>
      </c>
      <c r="K486" t="s">
        <v>13</v>
      </c>
      <c r="L486" s="3">
        <f t="shared" si="21"/>
        <v>1.7194444444444443</v>
      </c>
      <c r="M486" t="str">
        <f t="shared" si="22"/>
        <v>Tuesday</v>
      </c>
      <c r="N486" t="str">
        <f t="shared" si="23"/>
        <v>Medium</v>
      </c>
    </row>
    <row r="487" spans="1:14" x14ac:dyDescent="0.35">
      <c r="A487">
        <v>1477941193</v>
      </c>
      <c r="B487" s="1">
        <v>42674</v>
      </c>
      <c r="C487" t="s">
        <v>11</v>
      </c>
      <c r="D487" t="s">
        <v>87</v>
      </c>
      <c r="E487" t="s">
        <v>89</v>
      </c>
      <c r="F487" t="s">
        <v>12</v>
      </c>
      <c r="G487" t="s">
        <v>90</v>
      </c>
      <c r="H487" s="2">
        <v>77</v>
      </c>
      <c r="I487" s="2">
        <v>1</v>
      </c>
      <c r="J487" s="3">
        <v>31.47</v>
      </c>
      <c r="K487" t="s">
        <v>13</v>
      </c>
      <c r="L487" s="3">
        <f t="shared" si="21"/>
        <v>0.40870129870129868</v>
      </c>
      <c r="M487" t="str">
        <f t="shared" si="22"/>
        <v>Monday</v>
      </c>
      <c r="N487" t="str">
        <f t="shared" si="23"/>
        <v>Medium</v>
      </c>
    </row>
    <row r="488" spans="1:14" x14ac:dyDescent="0.35">
      <c r="A488">
        <v>1499012816</v>
      </c>
      <c r="B488" s="1">
        <v>42918</v>
      </c>
      <c r="C488" t="s">
        <v>11</v>
      </c>
      <c r="D488" t="s">
        <v>31</v>
      </c>
      <c r="E488" t="s">
        <v>89</v>
      </c>
      <c r="F488" t="s">
        <v>12</v>
      </c>
      <c r="G488" t="s">
        <v>90</v>
      </c>
      <c r="H488" s="2">
        <v>22</v>
      </c>
      <c r="I488" s="2">
        <v>1</v>
      </c>
      <c r="J488" s="3">
        <v>31.48</v>
      </c>
      <c r="K488" t="s">
        <v>13</v>
      </c>
      <c r="L488" s="3">
        <f t="shared" si="21"/>
        <v>1.4309090909090909</v>
      </c>
      <c r="M488" t="str">
        <f t="shared" si="22"/>
        <v>Sunday</v>
      </c>
      <c r="N488" t="str">
        <f t="shared" si="23"/>
        <v>Medium</v>
      </c>
    </row>
    <row r="489" spans="1:14" x14ac:dyDescent="0.35">
      <c r="A489">
        <v>1473383947</v>
      </c>
      <c r="B489" s="1">
        <v>42621</v>
      </c>
      <c r="C489" t="s">
        <v>11</v>
      </c>
      <c r="D489" t="s">
        <v>27</v>
      </c>
      <c r="E489" t="s">
        <v>89</v>
      </c>
      <c r="F489" t="s">
        <v>16</v>
      </c>
      <c r="G489" t="s">
        <v>90</v>
      </c>
      <c r="H489" s="2">
        <v>35</v>
      </c>
      <c r="I489" s="2">
        <v>1</v>
      </c>
      <c r="J489" s="3">
        <v>31.49</v>
      </c>
      <c r="K489" t="s">
        <v>13</v>
      </c>
      <c r="L489" s="3">
        <f t="shared" si="21"/>
        <v>0.89971428571428569</v>
      </c>
      <c r="M489" t="str">
        <f t="shared" si="22"/>
        <v>Thursday</v>
      </c>
      <c r="N489" t="str">
        <f t="shared" si="23"/>
        <v>Medium</v>
      </c>
    </row>
    <row r="490" spans="1:14" x14ac:dyDescent="0.35">
      <c r="A490">
        <v>1472529951</v>
      </c>
      <c r="B490" s="1">
        <v>42611</v>
      </c>
      <c r="C490" t="s">
        <v>11</v>
      </c>
      <c r="D490" t="s">
        <v>87</v>
      </c>
      <c r="E490" t="s">
        <v>89</v>
      </c>
      <c r="F490" t="s">
        <v>12</v>
      </c>
      <c r="G490" t="s">
        <v>90</v>
      </c>
      <c r="H490" s="2">
        <v>11</v>
      </c>
      <c r="I490" s="2">
        <v>1</v>
      </c>
      <c r="J490" s="3">
        <v>31.49</v>
      </c>
      <c r="K490" t="s">
        <v>13</v>
      </c>
      <c r="L490" s="3">
        <f t="shared" si="21"/>
        <v>2.8627272727272728</v>
      </c>
      <c r="M490" t="str">
        <f t="shared" si="22"/>
        <v>Monday</v>
      </c>
      <c r="N490" t="str">
        <f t="shared" si="23"/>
        <v>Medium</v>
      </c>
    </row>
    <row r="491" spans="1:14" x14ac:dyDescent="0.35">
      <c r="A491">
        <v>1489371345</v>
      </c>
      <c r="B491" s="1">
        <v>42806</v>
      </c>
      <c r="C491" t="s">
        <v>11</v>
      </c>
      <c r="D491" t="s">
        <v>15</v>
      </c>
      <c r="E491" t="s">
        <v>89</v>
      </c>
      <c r="F491" t="s">
        <v>16</v>
      </c>
      <c r="G491" t="s">
        <v>90</v>
      </c>
      <c r="H491" s="2">
        <v>24</v>
      </c>
      <c r="I491" s="2">
        <v>1</v>
      </c>
      <c r="J491" s="3">
        <v>31.93</v>
      </c>
      <c r="K491" t="s">
        <v>13</v>
      </c>
      <c r="L491" s="3">
        <f t="shared" si="21"/>
        <v>1.3304166666666666</v>
      </c>
      <c r="M491" t="str">
        <f t="shared" si="22"/>
        <v>Sunday</v>
      </c>
      <c r="N491" t="str">
        <f t="shared" si="23"/>
        <v>Medium</v>
      </c>
    </row>
    <row r="492" spans="1:14" x14ac:dyDescent="0.35">
      <c r="A492">
        <v>1500579086</v>
      </c>
      <c r="B492" s="1">
        <v>42936</v>
      </c>
      <c r="C492" t="s">
        <v>11</v>
      </c>
      <c r="D492" t="s">
        <v>14</v>
      </c>
      <c r="E492" t="s">
        <v>89</v>
      </c>
      <c r="F492" t="s">
        <v>16</v>
      </c>
      <c r="G492" t="s">
        <v>91</v>
      </c>
      <c r="H492" s="2">
        <v>25</v>
      </c>
      <c r="I492" s="2">
        <v>1</v>
      </c>
      <c r="J492" s="3">
        <v>31.96</v>
      </c>
      <c r="K492" t="s">
        <v>13</v>
      </c>
      <c r="L492" s="3">
        <f t="shared" si="21"/>
        <v>1.2784</v>
      </c>
      <c r="M492" t="str">
        <f t="shared" si="22"/>
        <v>Thursday</v>
      </c>
      <c r="N492" t="str">
        <f t="shared" si="23"/>
        <v>Medium</v>
      </c>
    </row>
    <row r="493" spans="1:14" x14ac:dyDescent="0.35">
      <c r="A493">
        <v>1477704763</v>
      </c>
      <c r="B493" s="1">
        <v>42671</v>
      </c>
      <c r="C493" t="s">
        <v>11</v>
      </c>
      <c r="D493" t="s">
        <v>44</v>
      </c>
      <c r="E493" t="s">
        <v>89</v>
      </c>
      <c r="F493" t="s">
        <v>12</v>
      </c>
      <c r="G493" t="s">
        <v>91</v>
      </c>
      <c r="H493" s="2">
        <v>8</v>
      </c>
      <c r="I493" s="2">
        <v>1</v>
      </c>
      <c r="J493" s="3">
        <v>31.99</v>
      </c>
      <c r="K493" t="s">
        <v>13</v>
      </c>
      <c r="L493" s="3">
        <f t="shared" si="21"/>
        <v>3.9987499999999998</v>
      </c>
      <c r="M493" t="str">
        <f t="shared" si="22"/>
        <v>Friday</v>
      </c>
      <c r="N493" t="str">
        <f t="shared" si="23"/>
        <v>Medium</v>
      </c>
    </row>
    <row r="494" spans="1:14" x14ac:dyDescent="0.35">
      <c r="A494">
        <v>1500192932</v>
      </c>
      <c r="B494" s="1">
        <v>42932</v>
      </c>
      <c r="C494" t="s">
        <v>69</v>
      </c>
      <c r="D494" t="s">
        <v>70</v>
      </c>
      <c r="E494" t="s">
        <v>89</v>
      </c>
      <c r="F494" t="s">
        <v>12</v>
      </c>
      <c r="G494" t="s">
        <v>90</v>
      </c>
      <c r="H494" s="2">
        <v>20</v>
      </c>
      <c r="I494" s="2">
        <v>1</v>
      </c>
      <c r="J494" s="3">
        <v>32</v>
      </c>
      <c r="K494" t="s">
        <v>13</v>
      </c>
      <c r="L494" s="3">
        <f t="shared" si="21"/>
        <v>1.6</v>
      </c>
      <c r="M494" t="str">
        <f t="shared" si="22"/>
        <v>Sunday</v>
      </c>
      <c r="N494" t="str">
        <f t="shared" si="23"/>
        <v>Medium</v>
      </c>
    </row>
    <row r="495" spans="1:14" x14ac:dyDescent="0.35">
      <c r="A495">
        <v>1492060812</v>
      </c>
      <c r="B495" s="1">
        <v>42837</v>
      </c>
      <c r="C495" t="s">
        <v>11</v>
      </c>
      <c r="D495" t="s">
        <v>15</v>
      </c>
      <c r="E495" t="s">
        <v>89</v>
      </c>
      <c r="F495" t="s">
        <v>16</v>
      </c>
      <c r="G495" t="s">
        <v>90</v>
      </c>
      <c r="H495" s="2">
        <v>26</v>
      </c>
      <c r="I495" s="2">
        <v>1</v>
      </c>
      <c r="J495" s="3">
        <v>32.17</v>
      </c>
      <c r="K495" t="s">
        <v>13</v>
      </c>
      <c r="L495" s="3">
        <f t="shared" si="21"/>
        <v>1.2373076923076924</v>
      </c>
      <c r="M495" t="str">
        <f t="shared" si="22"/>
        <v>Wednesday</v>
      </c>
      <c r="N495" t="str">
        <f t="shared" si="23"/>
        <v>Medium</v>
      </c>
    </row>
    <row r="496" spans="1:14" x14ac:dyDescent="0.35">
      <c r="A496">
        <v>1500930573</v>
      </c>
      <c r="B496" s="1">
        <v>42940</v>
      </c>
      <c r="C496" t="s">
        <v>11</v>
      </c>
      <c r="D496" t="s">
        <v>71</v>
      </c>
      <c r="E496" t="s">
        <v>89</v>
      </c>
      <c r="F496" t="s">
        <v>12</v>
      </c>
      <c r="G496" t="s">
        <v>91</v>
      </c>
      <c r="H496" s="2">
        <v>29</v>
      </c>
      <c r="I496" s="2">
        <v>1</v>
      </c>
      <c r="J496" s="3">
        <v>32.28</v>
      </c>
      <c r="K496" t="s">
        <v>13</v>
      </c>
      <c r="L496" s="3">
        <f t="shared" si="21"/>
        <v>1.1131034482758622</v>
      </c>
      <c r="M496" t="str">
        <f t="shared" si="22"/>
        <v>Monday</v>
      </c>
      <c r="N496" t="str">
        <f t="shared" si="23"/>
        <v>Medium</v>
      </c>
    </row>
    <row r="497" spans="1:14" x14ac:dyDescent="0.35">
      <c r="A497">
        <v>1477895676</v>
      </c>
      <c r="B497" s="1">
        <v>42673</v>
      </c>
      <c r="C497" t="s">
        <v>11</v>
      </c>
      <c r="D497" t="s">
        <v>31</v>
      </c>
      <c r="E497" t="s">
        <v>89</v>
      </c>
      <c r="F497" t="s">
        <v>16</v>
      </c>
      <c r="G497" t="s">
        <v>90</v>
      </c>
      <c r="H497" s="2">
        <v>74</v>
      </c>
      <c r="I497" s="2">
        <v>1</v>
      </c>
      <c r="J497" s="3">
        <v>32.729999999999997</v>
      </c>
      <c r="K497" t="s">
        <v>13</v>
      </c>
      <c r="L497" s="3">
        <f t="shared" si="21"/>
        <v>0.44229729729729728</v>
      </c>
      <c r="M497" t="str">
        <f t="shared" si="22"/>
        <v>Sunday</v>
      </c>
      <c r="N497" t="str">
        <f t="shared" si="23"/>
        <v>Medium</v>
      </c>
    </row>
    <row r="498" spans="1:14" x14ac:dyDescent="0.35">
      <c r="A498">
        <v>1475733990</v>
      </c>
      <c r="B498" s="1">
        <v>42648</v>
      </c>
      <c r="C498" t="s">
        <v>11</v>
      </c>
      <c r="D498" t="s">
        <v>15</v>
      </c>
      <c r="E498" t="s">
        <v>89</v>
      </c>
      <c r="F498" t="s">
        <v>12</v>
      </c>
      <c r="G498" t="s">
        <v>91</v>
      </c>
      <c r="H498" s="2">
        <v>64</v>
      </c>
      <c r="I498" s="2">
        <v>1</v>
      </c>
      <c r="J498" s="3">
        <v>32.950000000000003</v>
      </c>
      <c r="K498" t="s">
        <v>13</v>
      </c>
      <c r="L498" s="3">
        <f t="shared" si="21"/>
        <v>0.51484375000000004</v>
      </c>
      <c r="M498" t="str">
        <f t="shared" si="22"/>
        <v>Wednesday</v>
      </c>
      <c r="N498" t="str">
        <f t="shared" si="23"/>
        <v>Medium</v>
      </c>
    </row>
    <row r="499" spans="1:14" x14ac:dyDescent="0.35">
      <c r="A499">
        <v>1497665633</v>
      </c>
      <c r="B499" s="1">
        <v>42902</v>
      </c>
      <c r="C499" t="s">
        <v>11</v>
      </c>
      <c r="D499" t="s">
        <v>87</v>
      </c>
      <c r="E499" t="s">
        <v>89</v>
      </c>
      <c r="F499" t="s">
        <v>12</v>
      </c>
      <c r="G499" t="s">
        <v>91</v>
      </c>
      <c r="H499" s="2">
        <v>5</v>
      </c>
      <c r="I499" s="2">
        <v>1</v>
      </c>
      <c r="J499" s="3">
        <v>32.979999999999997</v>
      </c>
      <c r="K499" t="s">
        <v>13</v>
      </c>
      <c r="L499" s="3">
        <f t="shared" si="21"/>
        <v>6.5959999999999992</v>
      </c>
      <c r="M499" t="str">
        <f t="shared" si="22"/>
        <v>Friday</v>
      </c>
      <c r="N499" t="str">
        <f t="shared" si="23"/>
        <v>Medium</v>
      </c>
    </row>
    <row r="500" spans="1:14" x14ac:dyDescent="0.35">
      <c r="A500">
        <v>1497522068</v>
      </c>
      <c r="B500" s="1">
        <v>42901</v>
      </c>
      <c r="C500" t="s">
        <v>40</v>
      </c>
      <c r="D500" t="s">
        <v>87</v>
      </c>
      <c r="E500" t="s">
        <v>89</v>
      </c>
      <c r="F500" t="s">
        <v>16</v>
      </c>
      <c r="G500" t="s">
        <v>90</v>
      </c>
      <c r="H500" s="2">
        <v>26</v>
      </c>
      <c r="I500" s="2">
        <v>1</v>
      </c>
      <c r="J500" s="3">
        <v>33.93</v>
      </c>
      <c r="K500" t="s">
        <v>13</v>
      </c>
      <c r="L500" s="3">
        <f t="shared" si="21"/>
        <v>1.3049999999999999</v>
      </c>
      <c r="M500" t="str">
        <f t="shared" si="22"/>
        <v>Thursday</v>
      </c>
      <c r="N500" t="str">
        <f t="shared" si="23"/>
        <v>Medium</v>
      </c>
    </row>
    <row r="501" spans="1:14" x14ac:dyDescent="0.35">
      <c r="A501">
        <v>1498608049</v>
      </c>
      <c r="B501" s="1">
        <v>42913</v>
      </c>
      <c r="C501" t="s">
        <v>11</v>
      </c>
      <c r="D501" t="s">
        <v>31</v>
      </c>
      <c r="E501" t="s">
        <v>89</v>
      </c>
      <c r="F501" t="s">
        <v>16</v>
      </c>
      <c r="G501" t="s">
        <v>90</v>
      </c>
      <c r="H501" s="2">
        <v>47</v>
      </c>
      <c r="I501" s="2">
        <v>1</v>
      </c>
      <c r="J501" s="3">
        <v>33.96</v>
      </c>
      <c r="K501" t="s">
        <v>13</v>
      </c>
      <c r="L501" s="3">
        <f t="shared" si="21"/>
        <v>0.7225531914893617</v>
      </c>
      <c r="M501" t="str">
        <f t="shared" si="22"/>
        <v>Tuesday</v>
      </c>
      <c r="N501" t="str">
        <f t="shared" si="23"/>
        <v>Medium</v>
      </c>
    </row>
    <row r="502" spans="1:14" x14ac:dyDescent="0.35">
      <c r="A502">
        <v>1480365085</v>
      </c>
      <c r="B502" s="1">
        <v>42702</v>
      </c>
      <c r="C502" t="s">
        <v>11</v>
      </c>
      <c r="D502" t="s">
        <v>25</v>
      </c>
      <c r="E502" t="s">
        <v>89</v>
      </c>
      <c r="F502" t="s">
        <v>16</v>
      </c>
      <c r="G502" t="s">
        <v>91</v>
      </c>
      <c r="H502" s="2">
        <v>18</v>
      </c>
      <c r="I502" s="2">
        <v>1</v>
      </c>
      <c r="J502" s="3">
        <v>33.97</v>
      </c>
      <c r="K502" t="s">
        <v>13</v>
      </c>
      <c r="L502" s="3">
        <f t="shared" si="21"/>
        <v>1.8872222222222221</v>
      </c>
      <c r="M502" t="str">
        <f t="shared" si="22"/>
        <v>Monday</v>
      </c>
      <c r="N502" t="str">
        <f t="shared" si="23"/>
        <v>Medium</v>
      </c>
    </row>
    <row r="503" spans="1:14" x14ac:dyDescent="0.35">
      <c r="A503">
        <v>1491897099</v>
      </c>
      <c r="B503" s="1">
        <v>42836</v>
      </c>
      <c r="C503" t="s">
        <v>11</v>
      </c>
      <c r="D503" t="s">
        <v>18</v>
      </c>
      <c r="E503" t="s">
        <v>89</v>
      </c>
      <c r="F503" t="s">
        <v>12</v>
      </c>
      <c r="G503" t="s">
        <v>91</v>
      </c>
      <c r="H503" s="2">
        <v>17</v>
      </c>
      <c r="I503" s="2">
        <v>1</v>
      </c>
      <c r="J503" s="3">
        <v>33.979999999999997</v>
      </c>
      <c r="K503" t="s">
        <v>13</v>
      </c>
      <c r="L503" s="3">
        <f t="shared" si="21"/>
        <v>1.9988235294117644</v>
      </c>
      <c r="M503" t="str">
        <f t="shared" si="22"/>
        <v>Tuesday</v>
      </c>
      <c r="N503" t="str">
        <f t="shared" si="23"/>
        <v>Medium</v>
      </c>
    </row>
    <row r="504" spans="1:14" x14ac:dyDescent="0.35">
      <c r="A504">
        <v>1496538357</v>
      </c>
      <c r="B504" s="1">
        <v>42889</v>
      </c>
      <c r="C504" t="s">
        <v>11</v>
      </c>
      <c r="D504" t="s">
        <v>87</v>
      </c>
      <c r="E504" t="s">
        <v>89</v>
      </c>
      <c r="F504" t="s">
        <v>12</v>
      </c>
      <c r="G504" t="s">
        <v>90</v>
      </c>
      <c r="H504" s="2">
        <v>25</v>
      </c>
      <c r="I504" s="2">
        <v>1</v>
      </c>
      <c r="J504" s="3">
        <v>33.979999999999997</v>
      </c>
      <c r="K504" t="s">
        <v>13</v>
      </c>
      <c r="L504" s="3">
        <f t="shared" si="21"/>
        <v>1.3592</v>
      </c>
      <c r="M504" t="str">
        <f t="shared" si="22"/>
        <v>Saturday</v>
      </c>
      <c r="N504" t="str">
        <f t="shared" si="23"/>
        <v>Medium</v>
      </c>
    </row>
    <row r="505" spans="1:14" x14ac:dyDescent="0.35">
      <c r="A505">
        <v>1483732158</v>
      </c>
      <c r="B505" s="1">
        <v>42741</v>
      </c>
      <c r="C505" t="s">
        <v>11</v>
      </c>
      <c r="D505" t="s">
        <v>87</v>
      </c>
      <c r="E505" t="s">
        <v>89</v>
      </c>
      <c r="F505" t="s">
        <v>12</v>
      </c>
      <c r="G505" t="s">
        <v>91</v>
      </c>
      <c r="H505" s="2">
        <v>19</v>
      </c>
      <c r="I505" s="2">
        <v>1</v>
      </c>
      <c r="J505" s="3">
        <v>33.979999999999997</v>
      </c>
      <c r="K505" t="s">
        <v>13</v>
      </c>
      <c r="L505" s="3">
        <f t="shared" si="21"/>
        <v>1.7884210526315787</v>
      </c>
      <c r="M505" t="str">
        <f t="shared" si="22"/>
        <v>Friday</v>
      </c>
      <c r="N505" t="str">
        <f t="shared" si="23"/>
        <v>Medium</v>
      </c>
    </row>
    <row r="506" spans="1:14" x14ac:dyDescent="0.35">
      <c r="A506">
        <v>1479611370</v>
      </c>
      <c r="B506" s="1">
        <v>42693</v>
      </c>
      <c r="C506" t="s">
        <v>11</v>
      </c>
      <c r="D506" t="s">
        <v>87</v>
      </c>
      <c r="E506" t="s">
        <v>89</v>
      </c>
      <c r="F506" t="s">
        <v>16</v>
      </c>
      <c r="G506" t="s">
        <v>91</v>
      </c>
      <c r="H506" s="2">
        <v>24</v>
      </c>
      <c r="I506" s="2">
        <v>1</v>
      </c>
      <c r="J506" s="3">
        <v>33.979999999999997</v>
      </c>
      <c r="K506" t="s">
        <v>13</v>
      </c>
      <c r="L506" s="3">
        <f t="shared" si="21"/>
        <v>1.4158333333333333</v>
      </c>
      <c r="M506" t="str">
        <f t="shared" si="22"/>
        <v>Saturday</v>
      </c>
      <c r="N506" t="str">
        <f t="shared" si="23"/>
        <v>Medium</v>
      </c>
    </row>
    <row r="507" spans="1:14" x14ac:dyDescent="0.35">
      <c r="A507">
        <v>1496860553</v>
      </c>
      <c r="B507" s="1">
        <v>42893</v>
      </c>
      <c r="C507" t="s">
        <v>11</v>
      </c>
      <c r="D507" t="s">
        <v>87</v>
      </c>
      <c r="E507" t="s">
        <v>89</v>
      </c>
      <c r="F507" t="s">
        <v>16</v>
      </c>
      <c r="G507" t="s">
        <v>91</v>
      </c>
      <c r="H507" s="2">
        <v>14</v>
      </c>
      <c r="I507" s="2">
        <v>1</v>
      </c>
      <c r="J507" s="3">
        <v>33.979999999999997</v>
      </c>
      <c r="K507" t="s">
        <v>13</v>
      </c>
      <c r="L507" s="3">
        <f t="shared" si="21"/>
        <v>2.427142857142857</v>
      </c>
      <c r="M507" t="str">
        <f t="shared" si="22"/>
        <v>Wednesday</v>
      </c>
      <c r="N507" t="str">
        <f t="shared" si="23"/>
        <v>Medium</v>
      </c>
    </row>
    <row r="508" spans="1:14" x14ac:dyDescent="0.35">
      <c r="A508">
        <v>1491850108</v>
      </c>
      <c r="B508" s="1">
        <v>42835</v>
      </c>
      <c r="C508" t="s">
        <v>72</v>
      </c>
      <c r="D508" t="s">
        <v>87</v>
      </c>
      <c r="E508" t="s">
        <v>89</v>
      </c>
      <c r="F508" t="s">
        <v>12</v>
      </c>
      <c r="G508" t="s">
        <v>90</v>
      </c>
      <c r="H508" s="2">
        <v>22</v>
      </c>
      <c r="I508" s="2">
        <v>1</v>
      </c>
      <c r="J508" s="3">
        <v>33.979999999999997</v>
      </c>
      <c r="K508" t="s">
        <v>13</v>
      </c>
      <c r="L508" s="3">
        <f t="shared" si="21"/>
        <v>1.5445454545454544</v>
      </c>
      <c r="M508" t="str">
        <f t="shared" si="22"/>
        <v>Monday</v>
      </c>
      <c r="N508" t="str">
        <f t="shared" si="23"/>
        <v>Medium</v>
      </c>
    </row>
    <row r="509" spans="1:14" x14ac:dyDescent="0.35">
      <c r="A509">
        <v>1482000084</v>
      </c>
      <c r="B509" s="1">
        <v>42721</v>
      </c>
      <c r="C509" t="s">
        <v>11</v>
      </c>
      <c r="D509" t="s">
        <v>25</v>
      </c>
      <c r="E509" t="s">
        <v>89</v>
      </c>
      <c r="F509" t="s">
        <v>12</v>
      </c>
      <c r="G509" t="s">
        <v>91</v>
      </c>
      <c r="H509" s="2">
        <v>16</v>
      </c>
      <c r="I509" s="2">
        <v>1</v>
      </c>
      <c r="J509" s="3">
        <v>33.979999999999997</v>
      </c>
      <c r="K509" t="s">
        <v>13</v>
      </c>
      <c r="L509" s="3">
        <f t="shared" si="21"/>
        <v>2.1237499999999998</v>
      </c>
      <c r="M509" t="str">
        <f t="shared" si="22"/>
        <v>Saturday</v>
      </c>
      <c r="N509" t="str">
        <f t="shared" si="23"/>
        <v>Medium</v>
      </c>
    </row>
    <row r="510" spans="1:14" x14ac:dyDescent="0.35">
      <c r="A510">
        <v>1490221562</v>
      </c>
      <c r="B510" s="1">
        <v>42816</v>
      </c>
      <c r="C510" t="s">
        <v>11</v>
      </c>
      <c r="D510" t="s">
        <v>15</v>
      </c>
      <c r="E510" t="s">
        <v>89</v>
      </c>
      <c r="F510" t="s">
        <v>16</v>
      </c>
      <c r="G510" t="s">
        <v>91</v>
      </c>
      <c r="H510" s="2">
        <v>23</v>
      </c>
      <c r="I510" s="2">
        <v>1</v>
      </c>
      <c r="J510" s="3">
        <v>33.979999999999997</v>
      </c>
      <c r="K510" t="s">
        <v>13</v>
      </c>
      <c r="L510" s="3">
        <f t="shared" si="21"/>
        <v>1.477391304347826</v>
      </c>
      <c r="M510" t="str">
        <f t="shared" si="22"/>
        <v>Wednesday</v>
      </c>
      <c r="N510" t="str">
        <f t="shared" si="23"/>
        <v>Medium</v>
      </c>
    </row>
    <row r="511" spans="1:14" x14ac:dyDescent="0.35">
      <c r="A511">
        <v>1497449994</v>
      </c>
      <c r="B511" s="1">
        <v>42900</v>
      </c>
      <c r="C511" t="s">
        <v>11</v>
      </c>
      <c r="D511" t="s">
        <v>87</v>
      </c>
      <c r="E511" t="s">
        <v>89</v>
      </c>
      <c r="F511" t="s">
        <v>12</v>
      </c>
      <c r="G511" t="s">
        <v>90</v>
      </c>
      <c r="H511" s="2">
        <v>16</v>
      </c>
      <c r="I511" s="2">
        <v>1</v>
      </c>
      <c r="J511" s="3">
        <v>33.979999999999997</v>
      </c>
      <c r="K511" t="s">
        <v>13</v>
      </c>
      <c r="L511" s="3">
        <f t="shared" si="21"/>
        <v>2.1237499999999998</v>
      </c>
      <c r="M511" t="str">
        <f t="shared" si="22"/>
        <v>Wednesday</v>
      </c>
      <c r="N511" t="str">
        <f t="shared" si="23"/>
        <v>Medium</v>
      </c>
    </row>
    <row r="512" spans="1:14" x14ac:dyDescent="0.35">
      <c r="A512">
        <v>1487394936</v>
      </c>
      <c r="B512" s="1">
        <v>42783</v>
      </c>
      <c r="C512" t="s">
        <v>11</v>
      </c>
      <c r="D512" t="s">
        <v>73</v>
      </c>
      <c r="E512" t="s">
        <v>89</v>
      </c>
      <c r="F512" t="s">
        <v>12</v>
      </c>
      <c r="G512" t="s">
        <v>90</v>
      </c>
      <c r="H512" s="2">
        <v>27</v>
      </c>
      <c r="I512" s="2">
        <v>1</v>
      </c>
      <c r="J512" s="3">
        <v>33.979999999999997</v>
      </c>
      <c r="K512" t="s">
        <v>13</v>
      </c>
      <c r="L512" s="3">
        <f t="shared" si="21"/>
        <v>1.2585185185185184</v>
      </c>
      <c r="M512" t="str">
        <f t="shared" si="22"/>
        <v>Friday</v>
      </c>
      <c r="N512" t="str">
        <f t="shared" si="23"/>
        <v>Medium</v>
      </c>
    </row>
    <row r="513" spans="1:14" x14ac:dyDescent="0.35">
      <c r="A513">
        <v>1489790435</v>
      </c>
      <c r="B513" s="1">
        <v>42811</v>
      </c>
      <c r="C513" t="s">
        <v>11</v>
      </c>
      <c r="D513" t="s">
        <v>74</v>
      </c>
      <c r="E513" t="s">
        <v>89</v>
      </c>
      <c r="F513" t="s">
        <v>39</v>
      </c>
      <c r="G513" t="s">
        <v>91</v>
      </c>
      <c r="H513" s="2">
        <v>20</v>
      </c>
      <c r="I513" s="2">
        <v>1</v>
      </c>
      <c r="J513" s="3">
        <v>33.979999999999997</v>
      </c>
      <c r="K513" t="s">
        <v>13</v>
      </c>
      <c r="L513" s="3">
        <f t="shared" si="21"/>
        <v>1.6989999999999998</v>
      </c>
      <c r="M513" t="str">
        <f t="shared" si="22"/>
        <v>Friday</v>
      </c>
      <c r="N513" t="str">
        <f t="shared" si="23"/>
        <v>Medium</v>
      </c>
    </row>
    <row r="514" spans="1:14" x14ac:dyDescent="0.35">
      <c r="A514">
        <v>1476502145</v>
      </c>
      <c r="B514" s="1">
        <v>42657</v>
      </c>
      <c r="C514" t="s">
        <v>11</v>
      </c>
      <c r="D514" t="s">
        <v>87</v>
      </c>
      <c r="E514" t="s">
        <v>89</v>
      </c>
      <c r="F514" t="s">
        <v>16</v>
      </c>
      <c r="G514" t="s">
        <v>91</v>
      </c>
      <c r="H514" s="2">
        <v>15</v>
      </c>
      <c r="I514" s="2">
        <v>1</v>
      </c>
      <c r="J514" s="3">
        <v>33.99</v>
      </c>
      <c r="K514" t="s">
        <v>13</v>
      </c>
      <c r="L514" s="3">
        <f t="shared" si="21"/>
        <v>2.266</v>
      </c>
      <c r="M514" t="str">
        <f t="shared" si="22"/>
        <v>Friday</v>
      </c>
      <c r="N514" t="str">
        <f t="shared" si="23"/>
        <v>Medium</v>
      </c>
    </row>
    <row r="515" spans="1:14" x14ac:dyDescent="0.35">
      <c r="A515">
        <v>1499254237</v>
      </c>
      <c r="B515" s="1">
        <v>42921</v>
      </c>
      <c r="C515" t="s">
        <v>11</v>
      </c>
      <c r="D515" t="s">
        <v>17</v>
      </c>
      <c r="E515" t="s">
        <v>89</v>
      </c>
      <c r="F515" t="s">
        <v>12</v>
      </c>
      <c r="G515" t="s">
        <v>91</v>
      </c>
      <c r="H515" s="2">
        <v>13</v>
      </c>
      <c r="I515" s="2">
        <v>1</v>
      </c>
      <c r="J515" s="3">
        <v>34.380000000000003</v>
      </c>
      <c r="K515" t="s">
        <v>13</v>
      </c>
      <c r="L515" s="3">
        <f t="shared" ref="L515:L578" si="24">J515/H515</f>
        <v>2.6446153846153848</v>
      </c>
      <c r="M515" t="str">
        <f t="shared" ref="M515:M578" si="25">TEXT(B515, "dddd")</f>
        <v>Wednesday</v>
      </c>
      <c r="N515" t="str">
        <f t="shared" ref="N515:N578" si="26">IF(J515&gt;200,"High",IF(J515&gt;=20,"Medium","Low"))</f>
        <v>Medium</v>
      </c>
    </row>
    <row r="516" spans="1:14" x14ac:dyDescent="0.35">
      <c r="A516">
        <v>1474610547</v>
      </c>
      <c r="B516" s="1">
        <v>42635</v>
      </c>
      <c r="C516" t="s">
        <v>11</v>
      </c>
      <c r="D516" t="s">
        <v>23</v>
      </c>
      <c r="E516" t="s">
        <v>89</v>
      </c>
      <c r="F516" t="s">
        <v>16</v>
      </c>
      <c r="G516" t="s">
        <v>90</v>
      </c>
      <c r="H516" s="2">
        <v>47</v>
      </c>
      <c r="I516" s="2">
        <v>1</v>
      </c>
      <c r="J516" s="3">
        <v>34.46</v>
      </c>
      <c r="K516" t="s">
        <v>13</v>
      </c>
      <c r="L516" s="3">
        <f t="shared" si="24"/>
        <v>0.7331914893617022</v>
      </c>
      <c r="M516" t="str">
        <f t="shared" si="25"/>
        <v>Thursday</v>
      </c>
      <c r="N516" t="str">
        <f t="shared" si="26"/>
        <v>Medium</v>
      </c>
    </row>
    <row r="517" spans="1:14" x14ac:dyDescent="0.35">
      <c r="A517">
        <v>1470699668</v>
      </c>
      <c r="B517" s="1">
        <v>42590</v>
      </c>
      <c r="C517" t="s">
        <v>11</v>
      </c>
      <c r="D517" t="s">
        <v>14</v>
      </c>
      <c r="E517" t="s">
        <v>89</v>
      </c>
      <c r="F517" t="s">
        <v>16</v>
      </c>
      <c r="G517" t="s">
        <v>90</v>
      </c>
      <c r="H517" s="2">
        <v>18</v>
      </c>
      <c r="I517" s="2">
        <v>1</v>
      </c>
      <c r="J517" s="3">
        <v>34.5</v>
      </c>
      <c r="K517" t="s">
        <v>13</v>
      </c>
      <c r="L517" s="3">
        <f t="shared" si="24"/>
        <v>1.9166666666666667</v>
      </c>
      <c r="M517" t="str">
        <f t="shared" si="25"/>
        <v>Monday</v>
      </c>
      <c r="N517" t="str">
        <f t="shared" si="26"/>
        <v>Medium</v>
      </c>
    </row>
    <row r="518" spans="1:14" x14ac:dyDescent="0.35">
      <c r="A518">
        <v>1488177360</v>
      </c>
      <c r="B518" s="1">
        <v>42792</v>
      </c>
      <c r="C518" t="s">
        <v>11</v>
      </c>
      <c r="D518" t="s">
        <v>87</v>
      </c>
      <c r="E518" t="s">
        <v>89</v>
      </c>
      <c r="F518" t="s">
        <v>16</v>
      </c>
      <c r="G518" t="s">
        <v>90</v>
      </c>
      <c r="H518" s="2">
        <v>35</v>
      </c>
      <c r="I518" s="2">
        <v>1</v>
      </c>
      <c r="J518" s="3">
        <v>34.909999999999997</v>
      </c>
      <c r="K518" t="s">
        <v>13</v>
      </c>
      <c r="L518" s="3">
        <f t="shared" si="24"/>
        <v>0.99742857142857133</v>
      </c>
      <c r="M518" t="str">
        <f t="shared" si="25"/>
        <v>Sunday</v>
      </c>
      <c r="N518" t="str">
        <f t="shared" si="26"/>
        <v>Medium</v>
      </c>
    </row>
    <row r="519" spans="1:14" x14ac:dyDescent="0.35">
      <c r="A519">
        <v>1481127499</v>
      </c>
      <c r="B519" s="1">
        <v>42711</v>
      </c>
      <c r="C519" t="s">
        <v>11</v>
      </c>
      <c r="D519" t="s">
        <v>87</v>
      </c>
      <c r="E519" t="s">
        <v>89</v>
      </c>
      <c r="F519" t="s">
        <v>16</v>
      </c>
      <c r="G519" t="s">
        <v>91</v>
      </c>
      <c r="H519" s="2">
        <v>24</v>
      </c>
      <c r="I519" s="2">
        <v>1</v>
      </c>
      <c r="J519" s="3">
        <v>34.94</v>
      </c>
      <c r="K519" t="s">
        <v>13</v>
      </c>
      <c r="L519" s="3">
        <f t="shared" si="24"/>
        <v>1.4558333333333333</v>
      </c>
      <c r="M519" t="str">
        <f t="shared" si="25"/>
        <v>Wednesday</v>
      </c>
      <c r="N519" t="str">
        <f t="shared" si="26"/>
        <v>Medium</v>
      </c>
    </row>
    <row r="520" spans="1:14" x14ac:dyDescent="0.35">
      <c r="A520">
        <v>1485018827</v>
      </c>
      <c r="B520" s="1">
        <v>42756</v>
      </c>
      <c r="C520" t="s">
        <v>11</v>
      </c>
      <c r="D520" t="s">
        <v>87</v>
      </c>
      <c r="E520" t="s">
        <v>89</v>
      </c>
      <c r="F520" t="s">
        <v>16</v>
      </c>
      <c r="G520" t="s">
        <v>91</v>
      </c>
      <c r="H520" s="2">
        <v>41</v>
      </c>
      <c r="I520" s="2">
        <v>1</v>
      </c>
      <c r="J520" s="3">
        <v>34.96</v>
      </c>
      <c r="K520" t="s">
        <v>13</v>
      </c>
      <c r="L520" s="3">
        <f t="shared" si="24"/>
        <v>0.85268292682926827</v>
      </c>
      <c r="M520" t="str">
        <f t="shared" si="25"/>
        <v>Saturday</v>
      </c>
      <c r="N520" t="str">
        <f t="shared" si="26"/>
        <v>Medium</v>
      </c>
    </row>
    <row r="521" spans="1:14" x14ac:dyDescent="0.35">
      <c r="A521">
        <v>1483534225</v>
      </c>
      <c r="B521" s="1">
        <v>42739</v>
      </c>
      <c r="C521" t="s">
        <v>11</v>
      </c>
      <c r="D521" t="s">
        <v>87</v>
      </c>
      <c r="E521" t="s">
        <v>89</v>
      </c>
      <c r="F521" t="s">
        <v>12</v>
      </c>
      <c r="G521" t="s">
        <v>91</v>
      </c>
      <c r="H521" s="2">
        <v>27</v>
      </c>
      <c r="I521" s="2">
        <v>1</v>
      </c>
      <c r="J521" s="3">
        <v>34.97</v>
      </c>
      <c r="K521" t="s">
        <v>13</v>
      </c>
      <c r="L521" s="3">
        <f t="shared" si="24"/>
        <v>1.2951851851851852</v>
      </c>
      <c r="M521" t="str">
        <f t="shared" si="25"/>
        <v>Wednesday</v>
      </c>
      <c r="N521" t="str">
        <f t="shared" si="26"/>
        <v>Medium</v>
      </c>
    </row>
    <row r="522" spans="1:14" x14ac:dyDescent="0.35">
      <c r="A522">
        <v>1487732320</v>
      </c>
      <c r="B522" s="1">
        <v>42787</v>
      </c>
      <c r="C522" t="s">
        <v>11</v>
      </c>
      <c r="D522" t="s">
        <v>14</v>
      </c>
      <c r="E522" t="s">
        <v>89</v>
      </c>
      <c r="F522" t="s">
        <v>12</v>
      </c>
      <c r="G522" t="s">
        <v>90</v>
      </c>
      <c r="H522" s="2">
        <v>37</v>
      </c>
      <c r="I522" s="2">
        <v>1</v>
      </c>
      <c r="J522" s="3">
        <v>34.97</v>
      </c>
      <c r="K522" t="s">
        <v>13</v>
      </c>
      <c r="L522" s="3">
        <f t="shared" si="24"/>
        <v>0.94513513513513514</v>
      </c>
      <c r="M522" t="str">
        <f t="shared" si="25"/>
        <v>Tuesday</v>
      </c>
      <c r="N522" t="str">
        <f t="shared" si="26"/>
        <v>Medium</v>
      </c>
    </row>
    <row r="523" spans="1:14" x14ac:dyDescent="0.35">
      <c r="A523">
        <v>1478661295</v>
      </c>
      <c r="B523" s="1">
        <v>42682</v>
      </c>
      <c r="C523" t="s">
        <v>11</v>
      </c>
      <c r="D523" t="s">
        <v>87</v>
      </c>
      <c r="E523" t="s">
        <v>89</v>
      </c>
      <c r="F523" t="s">
        <v>16</v>
      </c>
      <c r="G523" t="s">
        <v>91</v>
      </c>
      <c r="H523" s="2">
        <v>8</v>
      </c>
      <c r="I523" s="2">
        <v>1</v>
      </c>
      <c r="J523" s="3">
        <v>34.99</v>
      </c>
      <c r="K523" t="s">
        <v>13</v>
      </c>
      <c r="L523" s="3">
        <f t="shared" si="24"/>
        <v>4.3737500000000002</v>
      </c>
      <c r="M523" t="str">
        <f t="shared" si="25"/>
        <v>Tuesday</v>
      </c>
      <c r="N523" t="str">
        <f t="shared" si="26"/>
        <v>Medium</v>
      </c>
    </row>
    <row r="524" spans="1:14" x14ac:dyDescent="0.35">
      <c r="A524">
        <v>1498087985</v>
      </c>
      <c r="B524" s="1">
        <v>42907</v>
      </c>
      <c r="C524" t="s">
        <v>11</v>
      </c>
      <c r="D524" t="s">
        <v>28</v>
      </c>
      <c r="E524" t="s">
        <v>89</v>
      </c>
      <c r="F524" t="s">
        <v>16</v>
      </c>
      <c r="G524" t="s">
        <v>91</v>
      </c>
      <c r="H524" s="2">
        <v>8</v>
      </c>
      <c r="I524" s="2">
        <v>1</v>
      </c>
      <c r="J524" s="3">
        <v>34.99</v>
      </c>
      <c r="K524" t="s">
        <v>13</v>
      </c>
      <c r="L524" s="3">
        <f t="shared" si="24"/>
        <v>4.3737500000000002</v>
      </c>
      <c r="M524" t="str">
        <f t="shared" si="25"/>
        <v>Wednesday</v>
      </c>
      <c r="N524" t="str">
        <f t="shared" si="26"/>
        <v>Medium</v>
      </c>
    </row>
    <row r="525" spans="1:14" x14ac:dyDescent="0.35">
      <c r="A525">
        <v>1483137899</v>
      </c>
      <c r="B525" s="1">
        <v>42734</v>
      </c>
      <c r="C525" t="s">
        <v>11</v>
      </c>
      <c r="D525" t="s">
        <v>87</v>
      </c>
      <c r="E525" t="s">
        <v>89</v>
      </c>
      <c r="F525" t="s">
        <v>16</v>
      </c>
      <c r="G525" t="s">
        <v>91</v>
      </c>
      <c r="H525" s="2">
        <v>23</v>
      </c>
      <c r="I525" s="2">
        <v>1</v>
      </c>
      <c r="J525" s="3">
        <v>34.99</v>
      </c>
      <c r="K525" t="s">
        <v>13</v>
      </c>
      <c r="L525" s="3">
        <f t="shared" si="24"/>
        <v>1.521304347826087</v>
      </c>
      <c r="M525" t="str">
        <f t="shared" si="25"/>
        <v>Friday</v>
      </c>
      <c r="N525" t="str">
        <f t="shared" si="26"/>
        <v>Medium</v>
      </c>
    </row>
    <row r="526" spans="1:14" x14ac:dyDescent="0.35">
      <c r="A526">
        <v>1481510316</v>
      </c>
      <c r="B526" s="1">
        <v>42715</v>
      </c>
      <c r="C526" t="s">
        <v>11</v>
      </c>
      <c r="D526" t="s">
        <v>87</v>
      </c>
      <c r="E526" t="s">
        <v>89</v>
      </c>
      <c r="F526" t="s">
        <v>16</v>
      </c>
      <c r="G526" t="s">
        <v>91</v>
      </c>
      <c r="H526" s="2">
        <v>21</v>
      </c>
      <c r="I526" s="2">
        <v>1</v>
      </c>
      <c r="J526" s="3">
        <v>34.99</v>
      </c>
      <c r="K526" t="s">
        <v>13</v>
      </c>
      <c r="L526" s="3">
        <f t="shared" si="24"/>
        <v>1.6661904761904762</v>
      </c>
      <c r="M526" t="str">
        <f t="shared" si="25"/>
        <v>Sunday</v>
      </c>
      <c r="N526" t="str">
        <f t="shared" si="26"/>
        <v>Medium</v>
      </c>
    </row>
    <row r="527" spans="1:14" x14ac:dyDescent="0.35">
      <c r="A527">
        <v>1479410455</v>
      </c>
      <c r="B527" s="1">
        <v>42691</v>
      </c>
      <c r="C527" t="s">
        <v>11</v>
      </c>
      <c r="D527" t="s">
        <v>44</v>
      </c>
      <c r="E527" t="s">
        <v>89</v>
      </c>
      <c r="F527" t="s">
        <v>12</v>
      </c>
      <c r="G527" t="s">
        <v>91</v>
      </c>
      <c r="H527" s="2">
        <v>12</v>
      </c>
      <c r="I527" s="2">
        <v>1</v>
      </c>
      <c r="J527" s="3">
        <v>34.99</v>
      </c>
      <c r="K527" t="s">
        <v>13</v>
      </c>
      <c r="L527" s="3">
        <f t="shared" si="24"/>
        <v>2.9158333333333335</v>
      </c>
      <c r="M527" t="str">
        <f t="shared" si="25"/>
        <v>Thursday</v>
      </c>
      <c r="N527" t="str">
        <f t="shared" si="26"/>
        <v>Medium</v>
      </c>
    </row>
    <row r="528" spans="1:14" x14ac:dyDescent="0.35">
      <c r="A528">
        <v>1498489516</v>
      </c>
      <c r="B528" s="1">
        <v>42912</v>
      </c>
      <c r="C528" t="s">
        <v>11</v>
      </c>
      <c r="D528" t="s">
        <v>18</v>
      </c>
      <c r="E528" t="s">
        <v>89</v>
      </c>
      <c r="F528" t="s">
        <v>16</v>
      </c>
      <c r="G528" t="s">
        <v>91</v>
      </c>
      <c r="H528" s="2">
        <v>15</v>
      </c>
      <c r="I528" s="2">
        <v>1</v>
      </c>
      <c r="J528" s="3">
        <v>35</v>
      </c>
      <c r="K528" t="s">
        <v>13</v>
      </c>
      <c r="L528" s="3">
        <f t="shared" si="24"/>
        <v>2.3333333333333335</v>
      </c>
      <c r="M528" t="str">
        <f t="shared" si="25"/>
        <v>Monday</v>
      </c>
      <c r="N528" t="str">
        <f t="shared" si="26"/>
        <v>Medium</v>
      </c>
    </row>
    <row r="529" spans="1:14" x14ac:dyDescent="0.35">
      <c r="A529">
        <v>1493871212</v>
      </c>
      <c r="B529" s="1">
        <v>42858</v>
      </c>
      <c r="C529" t="s">
        <v>11</v>
      </c>
      <c r="D529" t="s">
        <v>87</v>
      </c>
      <c r="E529" t="s">
        <v>89</v>
      </c>
      <c r="F529" t="s">
        <v>16</v>
      </c>
      <c r="G529" t="s">
        <v>90</v>
      </c>
      <c r="H529" s="2">
        <v>52</v>
      </c>
      <c r="I529" s="2">
        <v>1</v>
      </c>
      <c r="J529" s="3">
        <v>35.25</v>
      </c>
      <c r="K529" t="s">
        <v>13</v>
      </c>
      <c r="L529" s="3">
        <f t="shared" si="24"/>
        <v>0.67788461538461542</v>
      </c>
      <c r="M529" t="str">
        <f t="shared" si="25"/>
        <v>Wednesday</v>
      </c>
      <c r="N529" t="str">
        <f t="shared" si="26"/>
        <v>Medium</v>
      </c>
    </row>
    <row r="530" spans="1:14" x14ac:dyDescent="0.35">
      <c r="A530">
        <v>1471488032</v>
      </c>
      <c r="B530" s="1">
        <v>42599</v>
      </c>
      <c r="C530" t="s">
        <v>11</v>
      </c>
      <c r="D530" t="s">
        <v>87</v>
      </c>
      <c r="E530" t="s">
        <v>89</v>
      </c>
      <c r="F530" t="s">
        <v>12</v>
      </c>
      <c r="G530" t="s">
        <v>90</v>
      </c>
      <c r="H530" s="2">
        <v>19</v>
      </c>
      <c r="I530" s="2">
        <v>1</v>
      </c>
      <c r="J530" s="3">
        <v>35.31</v>
      </c>
      <c r="K530" t="s">
        <v>13</v>
      </c>
      <c r="L530" s="3">
        <f t="shared" si="24"/>
        <v>1.858421052631579</v>
      </c>
      <c r="M530" t="str">
        <f t="shared" si="25"/>
        <v>Wednesday</v>
      </c>
      <c r="N530" t="str">
        <f t="shared" si="26"/>
        <v>Medium</v>
      </c>
    </row>
    <row r="531" spans="1:14" x14ac:dyDescent="0.35">
      <c r="A531">
        <v>1472853332</v>
      </c>
      <c r="B531" s="1">
        <v>42615</v>
      </c>
      <c r="C531" t="s">
        <v>11</v>
      </c>
      <c r="D531" t="s">
        <v>44</v>
      </c>
      <c r="E531" t="s">
        <v>89</v>
      </c>
      <c r="F531" t="s">
        <v>12</v>
      </c>
      <c r="G531" t="s">
        <v>90</v>
      </c>
      <c r="H531" s="2">
        <v>16</v>
      </c>
      <c r="I531" s="2">
        <v>1</v>
      </c>
      <c r="J531" s="3">
        <v>35.479999999999997</v>
      </c>
      <c r="K531" t="s">
        <v>13</v>
      </c>
      <c r="L531" s="3">
        <f t="shared" si="24"/>
        <v>2.2174999999999998</v>
      </c>
      <c r="M531" t="str">
        <f t="shared" si="25"/>
        <v>Friday</v>
      </c>
      <c r="N531" t="str">
        <f t="shared" si="26"/>
        <v>Medium</v>
      </c>
    </row>
    <row r="532" spans="1:14" x14ac:dyDescent="0.35">
      <c r="A532">
        <v>1495221764</v>
      </c>
      <c r="B532" s="1">
        <v>42874</v>
      </c>
      <c r="C532" t="s">
        <v>11</v>
      </c>
      <c r="D532" t="s">
        <v>14</v>
      </c>
      <c r="E532" t="s">
        <v>89</v>
      </c>
      <c r="F532" t="s">
        <v>12</v>
      </c>
      <c r="G532" t="s">
        <v>91</v>
      </c>
      <c r="H532" s="2">
        <v>11</v>
      </c>
      <c r="I532" s="2">
        <v>1</v>
      </c>
      <c r="J532" s="3">
        <v>35.68</v>
      </c>
      <c r="K532" t="s">
        <v>13</v>
      </c>
      <c r="L532" s="3">
        <f t="shared" si="24"/>
        <v>3.2436363636363637</v>
      </c>
      <c r="M532" t="str">
        <f t="shared" si="25"/>
        <v>Friday</v>
      </c>
      <c r="N532" t="str">
        <f t="shared" si="26"/>
        <v>Medium</v>
      </c>
    </row>
    <row r="533" spans="1:14" x14ac:dyDescent="0.35">
      <c r="A533">
        <v>1479496343</v>
      </c>
      <c r="B533" s="1">
        <v>42692</v>
      </c>
      <c r="C533" t="s">
        <v>40</v>
      </c>
      <c r="D533" t="s">
        <v>87</v>
      </c>
      <c r="E533" t="s">
        <v>89</v>
      </c>
      <c r="F533" t="s">
        <v>16</v>
      </c>
      <c r="G533" t="s">
        <v>91</v>
      </c>
      <c r="H533" s="2">
        <v>58</v>
      </c>
      <c r="I533" s="2">
        <v>1</v>
      </c>
      <c r="J533" s="3">
        <v>35.979999999999997</v>
      </c>
      <c r="K533" t="s">
        <v>13</v>
      </c>
      <c r="L533" s="3">
        <f t="shared" si="24"/>
        <v>0.62034482758620679</v>
      </c>
      <c r="M533" t="str">
        <f t="shared" si="25"/>
        <v>Friday</v>
      </c>
      <c r="N533" t="str">
        <f t="shared" si="26"/>
        <v>Medium</v>
      </c>
    </row>
    <row r="534" spans="1:14" x14ac:dyDescent="0.35">
      <c r="A534">
        <v>1475588623</v>
      </c>
      <c r="B534" s="1">
        <v>42647</v>
      </c>
      <c r="C534" t="s">
        <v>11</v>
      </c>
      <c r="D534" t="s">
        <v>87</v>
      </c>
      <c r="E534" t="s">
        <v>89</v>
      </c>
      <c r="F534" t="s">
        <v>12</v>
      </c>
      <c r="G534" t="s">
        <v>91</v>
      </c>
      <c r="H534" s="2">
        <v>27</v>
      </c>
      <c r="I534" s="2">
        <v>1</v>
      </c>
      <c r="J534" s="3">
        <v>35.979999999999997</v>
      </c>
      <c r="K534" t="s">
        <v>13</v>
      </c>
      <c r="L534" s="3">
        <f t="shared" si="24"/>
        <v>1.3325925925925926</v>
      </c>
      <c r="M534" t="str">
        <f t="shared" si="25"/>
        <v>Tuesday</v>
      </c>
      <c r="N534" t="str">
        <f t="shared" si="26"/>
        <v>Medium</v>
      </c>
    </row>
    <row r="535" spans="1:14" x14ac:dyDescent="0.35">
      <c r="A535">
        <v>1490477313</v>
      </c>
      <c r="B535" s="1">
        <v>42819</v>
      </c>
      <c r="C535" t="s">
        <v>11</v>
      </c>
      <c r="D535" t="s">
        <v>15</v>
      </c>
      <c r="E535" t="s">
        <v>89</v>
      </c>
      <c r="F535" t="s">
        <v>12</v>
      </c>
      <c r="G535" t="s">
        <v>91</v>
      </c>
      <c r="H535" s="2">
        <v>27</v>
      </c>
      <c r="I535" s="2">
        <v>1</v>
      </c>
      <c r="J535" s="3">
        <v>35.979999999999997</v>
      </c>
      <c r="K535" t="s">
        <v>13</v>
      </c>
      <c r="L535" s="3">
        <f t="shared" si="24"/>
        <v>1.3325925925925926</v>
      </c>
      <c r="M535" t="str">
        <f t="shared" si="25"/>
        <v>Saturday</v>
      </c>
      <c r="N535" t="str">
        <f t="shared" si="26"/>
        <v>Medium</v>
      </c>
    </row>
    <row r="536" spans="1:14" x14ac:dyDescent="0.35">
      <c r="A536">
        <v>1499958768</v>
      </c>
      <c r="B536" s="1">
        <v>42929</v>
      </c>
      <c r="C536" t="s">
        <v>11</v>
      </c>
      <c r="D536" t="s">
        <v>87</v>
      </c>
      <c r="E536" t="s">
        <v>89</v>
      </c>
      <c r="F536" t="s">
        <v>12</v>
      </c>
      <c r="G536" t="s">
        <v>90</v>
      </c>
      <c r="H536" s="2">
        <v>11</v>
      </c>
      <c r="I536" s="2">
        <v>1</v>
      </c>
      <c r="J536" s="3">
        <v>35.979999999999997</v>
      </c>
      <c r="K536" t="s">
        <v>13</v>
      </c>
      <c r="L536" s="3">
        <f t="shared" si="24"/>
        <v>3.2709090909090905</v>
      </c>
      <c r="M536" t="str">
        <f t="shared" si="25"/>
        <v>Thursday</v>
      </c>
      <c r="N536" t="str">
        <f t="shared" si="26"/>
        <v>Medium</v>
      </c>
    </row>
    <row r="537" spans="1:14" x14ac:dyDescent="0.35">
      <c r="A537">
        <v>1487881797</v>
      </c>
      <c r="B537" s="1">
        <v>42789</v>
      </c>
      <c r="C537" t="s">
        <v>11</v>
      </c>
      <c r="D537" t="s">
        <v>87</v>
      </c>
      <c r="E537" t="s">
        <v>89</v>
      </c>
      <c r="F537" t="s">
        <v>12</v>
      </c>
      <c r="G537" t="s">
        <v>91</v>
      </c>
      <c r="H537" s="2">
        <v>28</v>
      </c>
      <c r="I537" s="2">
        <v>1</v>
      </c>
      <c r="J537" s="3">
        <v>35.979999999999997</v>
      </c>
      <c r="K537" t="s">
        <v>13</v>
      </c>
      <c r="L537" s="3">
        <f t="shared" si="24"/>
        <v>1.2849999999999999</v>
      </c>
      <c r="M537" t="str">
        <f t="shared" si="25"/>
        <v>Thursday</v>
      </c>
      <c r="N537" t="str">
        <f t="shared" si="26"/>
        <v>Medium</v>
      </c>
    </row>
    <row r="538" spans="1:14" x14ac:dyDescent="0.35">
      <c r="A538">
        <v>1480710430</v>
      </c>
      <c r="B538" s="1">
        <v>42706</v>
      </c>
      <c r="C538" t="s">
        <v>40</v>
      </c>
      <c r="D538" t="s">
        <v>87</v>
      </c>
      <c r="E538" t="s">
        <v>89</v>
      </c>
      <c r="F538" t="s">
        <v>16</v>
      </c>
      <c r="G538" t="s">
        <v>91</v>
      </c>
      <c r="H538" s="2">
        <v>35</v>
      </c>
      <c r="I538" s="2">
        <v>1</v>
      </c>
      <c r="J538" s="3">
        <v>36.47</v>
      </c>
      <c r="K538" t="s">
        <v>13</v>
      </c>
      <c r="L538" s="3">
        <f t="shared" si="24"/>
        <v>1.042</v>
      </c>
      <c r="M538" t="str">
        <f t="shared" si="25"/>
        <v>Friday</v>
      </c>
      <c r="N538" t="str">
        <f t="shared" si="26"/>
        <v>Medium</v>
      </c>
    </row>
    <row r="539" spans="1:14" x14ac:dyDescent="0.35">
      <c r="A539">
        <v>1497048235</v>
      </c>
      <c r="B539" s="1">
        <v>42895</v>
      </c>
      <c r="C539" t="s">
        <v>11</v>
      </c>
      <c r="D539" t="s">
        <v>25</v>
      </c>
      <c r="E539" t="s">
        <v>89</v>
      </c>
      <c r="F539" t="s">
        <v>12</v>
      </c>
      <c r="G539" t="s">
        <v>91</v>
      </c>
      <c r="H539" s="2">
        <v>40</v>
      </c>
      <c r="I539" s="2">
        <v>1</v>
      </c>
      <c r="J539" s="3">
        <v>36.479999999999997</v>
      </c>
      <c r="K539" t="s">
        <v>13</v>
      </c>
      <c r="L539" s="3">
        <f t="shared" si="24"/>
        <v>0.91199999999999992</v>
      </c>
      <c r="M539" t="str">
        <f t="shared" si="25"/>
        <v>Friday</v>
      </c>
      <c r="N539" t="str">
        <f t="shared" si="26"/>
        <v>Medium</v>
      </c>
    </row>
    <row r="540" spans="1:14" x14ac:dyDescent="0.35">
      <c r="A540">
        <v>1481576503</v>
      </c>
      <c r="B540" s="1">
        <v>42716</v>
      </c>
      <c r="C540" t="s">
        <v>11</v>
      </c>
      <c r="D540" t="s">
        <v>87</v>
      </c>
      <c r="E540" t="s">
        <v>89</v>
      </c>
      <c r="F540" t="s">
        <v>16</v>
      </c>
      <c r="G540" t="s">
        <v>91</v>
      </c>
      <c r="H540" s="2">
        <v>23</v>
      </c>
      <c r="I540" s="2">
        <v>1</v>
      </c>
      <c r="J540" s="3">
        <v>36.97</v>
      </c>
      <c r="K540" t="s">
        <v>13</v>
      </c>
      <c r="L540" s="3">
        <f t="shared" si="24"/>
        <v>1.6073913043478261</v>
      </c>
      <c r="M540" t="str">
        <f t="shared" si="25"/>
        <v>Monday</v>
      </c>
      <c r="N540" t="str">
        <f t="shared" si="26"/>
        <v>Medium</v>
      </c>
    </row>
    <row r="541" spans="1:14" x14ac:dyDescent="0.35">
      <c r="A541">
        <v>1500075851</v>
      </c>
      <c r="B541" s="1">
        <v>42930</v>
      </c>
      <c r="C541" t="s">
        <v>11</v>
      </c>
      <c r="D541" t="s">
        <v>87</v>
      </c>
      <c r="E541" t="s">
        <v>89</v>
      </c>
      <c r="F541" t="s">
        <v>12</v>
      </c>
      <c r="G541" t="s">
        <v>90</v>
      </c>
      <c r="H541" s="2">
        <v>20</v>
      </c>
      <c r="I541" s="2">
        <v>1</v>
      </c>
      <c r="J541" s="3">
        <v>36.97</v>
      </c>
      <c r="K541" t="s">
        <v>13</v>
      </c>
      <c r="L541" s="3">
        <f t="shared" si="24"/>
        <v>1.8485</v>
      </c>
      <c r="M541" t="str">
        <f t="shared" si="25"/>
        <v>Friday</v>
      </c>
      <c r="N541" t="str">
        <f t="shared" si="26"/>
        <v>Medium</v>
      </c>
    </row>
    <row r="542" spans="1:14" x14ac:dyDescent="0.35">
      <c r="A542">
        <v>1500176337</v>
      </c>
      <c r="B542" s="1">
        <v>42931</v>
      </c>
      <c r="C542" t="s">
        <v>11</v>
      </c>
      <c r="D542" t="s">
        <v>87</v>
      </c>
      <c r="E542" t="s">
        <v>89</v>
      </c>
      <c r="F542" t="s">
        <v>16</v>
      </c>
      <c r="G542" t="s">
        <v>90</v>
      </c>
      <c r="H542" s="2">
        <v>34</v>
      </c>
      <c r="I542" s="2">
        <v>1</v>
      </c>
      <c r="J542" s="3">
        <v>36.979999999999997</v>
      </c>
      <c r="K542" t="s">
        <v>13</v>
      </c>
      <c r="L542" s="3">
        <f t="shared" si="24"/>
        <v>1.0876470588235294</v>
      </c>
      <c r="M542" t="str">
        <f t="shared" si="25"/>
        <v>Saturday</v>
      </c>
      <c r="N542" t="str">
        <f t="shared" si="26"/>
        <v>Medium</v>
      </c>
    </row>
    <row r="543" spans="1:14" x14ac:dyDescent="0.35">
      <c r="A543">
        <v>1495835562</v>
      </c>
      <c r="B543" s="1">
        <v>42881</v>
      </c>
      <c r="C543" t="s">
        <v>11</v>
      </c>
      <c r="D543" t="s">
        <v>87</v>
      </c>
      <c r="E543" t="s">
        <v>89</v>
      </c>
      <c r="F543" t="s">
        <v>12</v>
      </c>
      <c r="G543" t="s">
        <v>90</v>
      </c>
      <c r="H543" s="2">
        <v>13</v>
      </c>
      <c r="I543" s="2">
        <v>1</v>
      </c>
      <c r="J543" s="3">
        <v>36.979999999999997</v>
      </c>
      <c r="K543" t="s">
        <v>13</v>
      </c>
      <c r="L543" s="3">
        <f t="shared" si="24"/>
        <v>2.8446153846153845</v>
      </c>
      <c r="M543" t="str">
        <f t="shared" si="25"/>
        <v>Friday</v>
      </c>
      <c r="N543" t="str">
        <f t="shared" si="26"/>
        <v>Medium</v>
      </c>
    </row>
    <row r="544" spans="1:14" x14ac:dyDescent="0.35">
      <c r="A544">
        <v>1470420550</v>
      </c>
      <c r="B544" s="1">
        <v>42587</v>
      </c>
      <c r="C544" t="s">
        <v>11</v>
      </c>
      <c r="D544" t="s">
        <v>44</v>
      </c>
      <c r="E544" t="s">
        <v>89</v>
      </c>
      <c r="F544" t="s">
        <v>16</v>
      </c>
      <c r="G544" t="s">
        <v>91</v>
      </c>
      <c r="H544" s="2">
        <v>21</v>
      </c>
      <c r="I544" s="2">
        <v>1</v>
      </c>
      <c r="J544" s="3">
        <v>36.99</v>
      </c>
      <c r="K544" t="s">
        <v>13</v>
      </c>
      <c r="L544" s="3">
        <f t="shared" si="24"/>
        <v>1.7614285714285716</v>
      </c>
      <c r="M544" t="str">
        <f t="shared" si="25"/>
        <v>Friday</v>
      </c>
      <c r="N544" t="str">
        <f t="shared" si="26"/>
        <v>Medium</v>
      </c>
    </row>
    <row r="545" spans="1:14" x14ac:dyDescent="0.35">
      <c r="A545">
        <v>1481919079</v>
      </c>
      <c r="B545" s="1">
        <v>42720</v>
      </c>
      <c r="C545" t="s">
        <v>11</v>
      </c>
      <c r="D545" t="s">
        <v>44</v>
      </c>
      <c r="E545" t="s">
        <v>89</v>
      </c>
      <c r="F545" t="s">
        <v>12</v>
      </c>
      <c r="G545" t="s">
        <v>91</v>
      </c>
      <c r="H545" s="2">
        <v>17</v>
      </c>
      <c r="I545" s="2">
        <v>1</v>
      </c>
      <c r="J545" s="3">
        <v>37</v>
      </c>
      <c r="K545" t="s">
        <v>13</v>
      </c>
      <c r="L545" s="3">
        <f t="shared" si="24"/>
        <v>2.1764705882352939</v>
      </c>
      <c r="M545" t="str">
        <f t="shared" si="25"/>
        <v>Friday</v>
      </c>
      <c r="N545" t="str">
        <f t="shared" si="26"/>
        <v>Medium</v>
      </c>
    </row>
    <row r="546" spans="1:14" x14ac:dyDescent="0.35">
      <c r="A546">
        <v>1485157896</v>
      </c>
      <c r="B546" s="1">
        <v>42758</v>
      </c>
      <c r="C546" t="s">
        <v>11</v>
      </c>
      <c r="D546" t="s">
        <v>87</v>
      </c>
      <c r="E546" t="s">
        <v>89</v>
      </c>
      <c r="F546" t="s">
        <v>16</v>
      </c>
      <c r="G546" t="s">
        <v>91</v>
      </c>
      <c r="H546" s="2">
        <v>12</v>
      </c>
      <c r="I546" s="2">
        <v>1</v>
      </c>
      <c r="J546" s="3">
        <v>37.479999999999997</v>
      </c>
      <c r="K546" t="s">
        <v>13</v>
      </c>
      <c r="L546" s="3">
        <f t="shared" si="24"/>
        <v>3.1233333333333331</v>
      </c>
      <c r="M546" t="str">
        <f t="shared" si="25"/>
        <v>Monday</v>
      </c>
      <c r="N546" t="str">
        <f t="shared" si="26"/>
        <v>Medium</v>
      </c>
    </row>
    <row r="547" spans="1:14" x14ac:dyDescent="0.35">
      <c r="A547">
        <v>1472778870</v>
      </c>
      <c r="B547" s="1">
        <v>42614</v>
      </c>
      <c r="C547" t="s">
        <v>11</v>
      </c>
      <c r="D547" t="s">
        <v>18</v>
      </c>
      <c r="E547" t="s">
        <v>89</v>
      </c>
      <c r="F547" t="s">
        <v>12</v>
      </c>
      <c r="G547" t="s">
        <v>90</v>
      </c>
      <c r="H547" s="2">
        <v>23</v>
      </c>
      <c r="I547" s="2">
        <v>1</v>
      </c>
      <c r="J547" s="3">
        <v>37.799999999999997</v>
      </c>
      <c r="K547" t="s">
        <v>13</v>
      </c>
      <c r="L547" s="3">
        <f t="shared" si="24"/>
        <v>1.6434782608695651</v>
      </c>
      <c r="M547" t="str">
        <f t="shared" si="25"/>
        <v>Thursday</v>
      </c>
      <c r="N547" t="str">
        <f t="shared" si="26"/>
        <v>Medium</v>
      </c>
    </row>
    <row r="548" spans="1:14" x14ac:dyDescent="0.35">
      <c r="A548">
        <v>1498859818</v>
      </c>
      <c r="B548" s="1">
        <v>42916</v>
      </c>
      <c r="C548" t="s">
        <v>11</v>
      </c>
      <c r="D548" t="s">
        <v>87</v>
      </c>
      <c r="E548" t="s">
        <v>89</v>
      </c>
      <c r="F548" t="s">
        <v>12</v>
      </c>
      <c r="G548" t="s">
        <v>91</v>
      </c>
      <c r="H548" s="2">
        <v>51</v>
      </c>
      <c r="I548" s="2">
        <v>1</v>
      </c>
      <c r="J548" s="3">
        <v>37.97</v>
      </c>
      <c r="K548" t="s">
        <v>13</v>
      </c>
      <c r="L548" s="3">
        <f t="shared" si="24"/>
        <v>0.74450980392156862</v>
      </c>
      <c r="M548" t="str">
        <f t="shared" si="25"/>
        <v>Friday</v>
      </c>
      <c r="N548" t="str">
        <f t="shared" si="26"/>
        <v>Medium</v>
      </c>
    </row>
    <row r="549" spans="1:14" x14ac:dyDescent="0.35">
      <c r="A549">
        <v>1482207502</v>
      </c>
      <c r="B549" s="1">
        <v>42723</v>
      </c>
      <c r="C549" t="s">
        <v>11</v>
      </c>
      <c r="D549" t="s">
        <v>87</v>
      </c>
      <c r="E549" t="s">
        <v>89</v>
      </c>
      <c r="F549" t="s">
        <v>39</v>
      </c>
      <c r="G549" t="s">
        <v>91</v>
      </c>
      <c r="H549" s="2">
        <v>26</v>
      </c>
      <c r="I549" s="2">
        <v>1</v>
      </c>
      <c r="J549" s="3">
        <v>37.97</v>
      </c>
      <c r="K549" t="s">
        <v>13</v>
      </c>
      <c r="L549" s="3">
        <f t="shared" si="24"/>
        <v>1.4603846153846154</v>
      </c>
      <c r="M549" t="str">
        <f t="shared" si="25"/>
        <v>Monday</v>
      </c>
      <c r="N549" t="str">
        <f t="shared" si="26"/>
        <v>Medium</v>
      </c>
    </row>
    <row r="550" spans="1:14" x14ac:dyDescent="0.35">
      <c r="A550">
        <v>1485063570</v>
      </c>
      <c r="B550" s="1">
        <v>42756</v>
      </c>
      <c r="C550" t="s">
        <v>11</v>
      </c>
      <c r="D550" t="s">
        <v>87</v>
      </c>
      <c r="E550" t="s">
        <v>89</v>
      </c>
      <c r="F550" t="s">
        <v>12</v>
      </c>
      <c r="G550" t="s">
        <v>91</v>
      </c>
      <c r="H550" s="2">
        <v>22</v>
      </c>
      <c r="I550" s="2">
        <v>1</v>
      </c>
      <c r="J550" s="3">
        <v>37.979999999999997</v>
      </c>
      <c r="K550" t="s">
        <v>13</v>
      </c>
      <c r="L550" s="3">
        <f t="shared" si="24"/>
        <v>1.7263636363636363</v>
      </c>
      <c r="M550" t="str">
        <f t="shared" si="25"/>
        <v>Saturday</v>
      </c>
      <c r="N550" t="str">
        <f t="shared" si="26"/>
        <v>Medium</v>
      </c>
    </row>
    <row r="551" spans="1:14" x14ac:dyDescent="0.35">
      <c r="A551">
        <v>1488820314</v>
      </c>
      <c r="B551" s="1">
        <v>42800</v>
      </c>
      <c r="C551" t="s">
        <v>11</v>
      </c>
      <c r="D551" t="s">
        <v>23</v>
      </c>
      <c r="E551" t="s">
        <v>89</v>
      </c>
      <c r="F551" t="s">
        <v>12</v>
      </c>
      <c r="G551" t="s">
        <v>90</v>
      </c>
      <c r="H551" s="2">
        <v>24</v>
      </c>
      <c r="I551" s="2">
        <v>1</v>
      </c>
      <c r="J551" s="3">
        <v>37.979999999999997</v>
      </c>
      <c r="K551" t="s">
        <v>13</v>
      </c>
      <c r="L551" s="3">
        <f t="shared" si="24"/>
        <v>1.5824999999999998</v>
      </c>
      <c r="M551" t="str">
        <f t="shared" si="25"/>
        <v>Monday</v>
      </c>
      <c r="N551" t="str">
        <f t="shared" si="26"/>
        <v>Medium</v>
      </c>
    </row>
    <row r="552" spans="1:14" x14ac:dyDescent="0.35">
      <c r="A552">
        <v>1488504151</v>
      </c>
      <c r="B552" s="1">
        <v>42796</v>
      </c>
      <c r="C552" t="s">
        <v>11</v>
      </c>
      <c r="D552" t="s">
        <v>87</v>
      </c>
      <c r="E552" t="s">
        <v>89</v>
      </c>
      <c r="F552" t="s">
        <v>12</v>
      </c>
      <c r="G552" t="s">
        <v>90</v>
      </c>
      <c r="H552" s="2">
        <v>17</v>
      </c>
      <c r="I552" s="2">
        <v>1</v>
      </c>
      <c r="J552" s="3">
        <v>37.979999999999997</v>
      </c>
      <c r="K552" t="s">
        <v>13</v>
      </c>
      <c r="L552" s="3">
        <f t="shared" si="24"/>
        <v>2.2341176470588233</v>
      </c>
      <c r="M552" t="str">
        <f t="shared" si="25"/>
        <v>Thursday</v>
      </c>
      <c r="N552" t="str">
        <f t="shared" si="26"/>
        <v>Medium</v>
      </c>
    </row>
    <row r="553" spans="1:14" x14ac:dyDescent="0.35">
      <c r="A553">
        <v>1499465480</v>
      </c>
      <c r="B553" s="1">
        <v>42923</v>
      </c>
      <c r="C553" t="s">
        <v>11</v>
      </c>
      <c r="D553" t="s">
        <v>75</v>
      </c>
      <c r="E553" t="s">
        <v>89</v>
      </c>
      <c r="F553" t="s">
        <v>16</v>
      </c>
      <c r="G553" t="s">
        <v>90</v>
      </c>
      <c r="H553" s="2">
        <v>12</v>
      </c>
      <c r="I553" s="2">
        <v>1</v>
      </c>
      <c r="J553" s="3">
        <v>37.979999999999997</v>
      </c>
      <c r="K553" t="s">
        <v>13</v>
      </c>
      <c r="L553" s="3">
        <f t="shared" si="24"/>
        <v>3.1649999999999996</v>
      </c>
      <c r="M553" t="str">
        <f t="shared" si="25"/>
        <v>Friday</v>
      </c>
      <c r="N553" t="str">
        <f t="shared" si="26"/>
        <v>Medium</v>
      </c>
    </row>
    <row r="554" spans="1:14" x14ac:dyDescent="0.35">
      <c r="A554">
        <v>1499728144</v>
      </c>
      <c r="B554" s="1">
        <v>42926</v>
      </c>
      <c r="C554" t="s">
        <v>11</v>
      </c>
      <c r="D554" t="s">
        <v>19</v>
      </c>
      <c r="E554" t="s">
        <v>89</v>
      </c>
      <c r="F554" t="s">
        <v>16</v>
      </c>
      <c r="G554" t="s">
        <v>90</v>
      </c>
      <c r="H554" s="2">
        <v>16</v>
      </c>
      <c r="I554" s="2">
        <v>1</v>
      </c>
      <c r="J554" s="3">
        <v>37.979999999999997</v>
      </c>
      <c r="K554" t="s">
        <v>13</v>
      </c>
      <c r="L554" s="3">
        <f t="shared" si="24"/>
        <v>2.3737499999999998</v>
      </c>
      <c r="M554" t="str">
        <f t="shared" si="25"/>
        <v>Monday</v>
      </c>
      <c r="N554" t="str">
        <f t="shared" si="26"/>
        <v>Medium</v>
      </c>
    </row>
    <row r="555" spans="1:14" x14ac:dyDescent="0.35">
      <c r="A555">
        <v>1481694509</v>
      </c>
      <c r="B555" s="1">
        <v>42717</v>
      </c>
      <c r="C555" t="s">
        <v>11</v>
      </c>
      <c r="D555" t="s">
        <v>58</v>
      </c>
      <c r="E555" t="s">
        <v>89</v>
      </c>
      <c r="F555" t="s">
        <v>12</v>
      </c>
      <c r="G555" t="s">
        <v>91</v>
      </c>
      <c r="H555" s="2">
        <v>33</v>
      </c>
      <c r="I555" s="2">
        <v>1</v>
      </c>
      <c r="J555" s="3">
        <v>37.99</v>
      </c>
      <c r="K555" t="s">
        <v>13</v>
      </c>
      <c r="L555" s="3">
        <f t="shared" si="24"/>
        <v>1.1512121212121214</v>
      </c>
      <c r="M555" t="str">
        <f t="shared" si="25"/>
        <v>Tuesday</v>
      </c>
      <c r="N555" t="str">
        <f t="shared" si="26"/>
        <v>Medium</v>
      </c>
    </row>
    <row r="556" spans="1:14" x14ac:dyDescent="0.35">
      <c r="A556">
        <v>1482303690</v>
      </c>
      <c r="B556" s="1">
        <v>42724</v>
      </c>
      <c r="C556" t="s">
        <v>11</v>
      </c>
      <c r="D556" t="s">
        <v>87</v>
      </c>
      <c r="E556" t="s">
        <v>89</v>
      </c>
      <c r="F556" t="s">
        <v>12</v>
      </c>
      <c r="G556" t="s">
        <v>91</v>
      </c>
      <c r="H556" s="2">
        <v>26</v>
      </c>
      <c r="I556" s="2">
        <v>1</v>
      </c>
      <c r="J556" s="3">
        <v>38.47</v>
      </c>
      <c r="K556" t="s">
        <v>13</v>
      </c>
      <c r="L556" s="3">
        <f t="shared" si="24"/>
        <v>1.4796153846153846</v>
      </c>
      <c r="M556" t="str">
        <f t="shared" si="25"/>
        <v>Tuesday</v>
      </c>
      <c r="N556" t="str">
        <f t="shared" si="26"/>
        <v>Medium</v>
      </c>
    </row>
    <row r="557" spans="1:14" x14ac:dyDescent="0.35">
      <c r="A557">
        <v>1499136164</v>
      </c>
      <c r="B557" s="1">
        <v>42919</v>
      </c>
      <c r="C557" t="s">
        <v>11</v>
      </c>
      <c r="D557" t="s">
        <v>87</v>
      </c>
      <c r="E557" t="s">
        <v>89</v>
      </c>
      <c r="F557" t="s">
        <v>12</v>
      </c>
      <c r="G557" t="s">
        <v>91</v>
      </c>
      <c r="H557" s="2">
        <v>25</v>
      </c>
      <c r="I557" s="2">
        <v>1</v>
      </c>
      <c r="J557" s="3">
        <v>38.479999999999997</v>
      </c>
      <c r="K557" t="s">
        <v>13</v>
      </c>
      <c r="L557" s="3">
        <f t="shared" si="24"/>
        <v>1.5391999999999999</v>
      </c>
      <c r="M557" t="str">
        <f t="shared" si="25"/>
        <v>Monday</v>
      </c>
      <c r="N557" t="str">
        <f t="shared" si="26"/>
        <v>Medium</v>
      </c>
    </row>
    <row r="558" spans="1:14" x14ac:dyDescent="0.35">
      <c r="A558">
        <v>1472580873</v>
      </c>
      <c r="B558" s="1">
        <v>42612</v>
      </c>
      <c r="C558" t="s">
        <v>11</v>
      </c>
      <c r="D558" t="s">
        <v>87</v>
      </c>
      <c r="E558" t="s">
        <v>89</v>
      </c>
      <c r="F558" t="s">
        <v>16</v>
      </c>
      <c r="G558" t="s">
        <v>90</v>
      </c>
      <c r="H558" s="2">
        <v>23</v>
      </c>
      <c r="I558" s="2">
        <v>1</v>
      </c>
      <c r="J558" s="3">
        <v>38.950000000000003</v>
      </c>
      <c r="K558" t="s">
        <v>13</v>
      </c>
      <c r="L558" s="3">
        <f t="shared" si="24"/>
        <v>1.6934782608695653</v>
      </c>
      <c r="M558" t="str">
        <f t="shared" si="25"/>
        <v>Tuesday</v>
      </c>
      <c r="N558" t="str">
        <f t="shared" si="26"/>
        <v>Medium</v>
      </c>
    </row>
    <row r="559" spans="1:14" x14ac:dyDescent="0.35">
      <c r="A559">
        <v>1475774109</v>
      </c>
      <c r="B559" s="1">
        <v>42649</v>
      </c>
      <c r="C559" t="s">
        <v>11</v>
      </c>
      <c r="D559" t="s">
        <v>15</v>
      </c>
      <c r="E559" t="s">
        <v>89</v>
      </c>
      <c r="F559" t="s">
        <v>16</v>
      </c>
      <c r="G559" t="s">
        <v>91</v>
      </c>
      <c r="H559" s="2">
        <v>21</v>
      </c>
      <c r="I559" s="2">
        <v>1</v>
      </c>
      <c r="J559" s="3">
        <v>38.979999999999997</v>
      </c>
      <c r="K559" t="s">
        <v>13</v>
      </c>
      <c r="L559" s="3">
        <f t="shared" si="24"/>
        <v>1.8561904761904759</v>
      </c>
      <c r="M559" t="str">
        <f t="shared" si="25"/>
        <v>Thursday</v>
      </c>
      <c r="N559" t="str">
        <f t="shared" si="26"/>
        <v>Medium</v>
      </c>
    </row>
    <row r="560" spans="1:14" x14ac:dyDescent="0.35">
      <c r="A560">
        <v>1495033440</v>
      </c>
      <c r="B560" s="1">
        <v>42872</v>
      </c>
      <c r="C560" t="s">
        <v>11</v>
      </c>
      <c r="D560" t="s">
        <v>58</v>
      </c>
      <c r="E560" t="s">
        <v>89</v>
      </c>
      <c r="F560" t="s">
        <v>12</v>
      </c>
      <c r="G560" t="s">
        <v>90</v>
      </c>
      <c r="H560" s="2">
        <v>20</v>
      </c>
      <c r="I560" s="2">
        <v>1</v>
      </c>
      <c r="J560" s="3">
        <v>38.979999999999997</v>
      </c>
      <c r="K560" t="s">
        <v>13</v>
      </c>
      <c r="L560" s="3">
        <f t="shared" si="24"/>
        <v>1.9489999999999998</v>
      </c>
      <c r="M560" t="str">
        <f t="shared" si="25"/>
        <v>Wednesday</v>
      </c>
      <c r="N560" t="str">
        <f t="shared" si="26"/>
        <v>Medium</v>
      </c>
    </row>
    <row r="561" spans="1:14" x14ac:dyDescent="0.35">
      <c r="A561">
        <v>1474649077</v>
      </c>
      <c r="B561" s="1">
        <v>42636</v>
      </c>
      <c r="C561" t="s">
        <v>11</v>
      </c>
      <c r="D561" t="s">
        <v>87</v>
      </c>
      <c r="E561" t="s">
        <v>89</v>
      </c>
      <c r="F561" t="s">
        <v>12</v>
      </c>
      <c r="G561" t="s">
        <v>91</v>
      </c>
      <c r="H561" s="2">
        <v>20</v>
      </c>
      <c r="I561" s="2">
        <v>1</v>
      </c>
      <c r="J561" s="3">
        <v>38.979999999999997</v>
      </c>
      <c r="K561" t="s">
        <v>13</v>
      </c>
      <c r="L561" s="3">
        <f t="shared" si="24"/>
        <v>1.9489999999999998</v>
      </c>
      <c r="M561" t="str">
        <f t="shared" si="25"/>
        <v>Friday</v>
      </c>
      <c r="N561" t="str">
        <f t="shared" si="26"/>
        <v>Medium</v>
      </c>
    </row>
    <row r="562" spans="1:14" x14ac:dyDescent="0.35">
      <c r="A562">
        <v>1493202812</v>
      </c>
      <c r="B562" s="1">
        <v>42851</v>
      </c>
      <c r="C562" t="s">
        <v>40</v>
      </c>
      <c r="D562" t="s">
        <v>76</v>
      </c>
      <c r="E562" t="s">
        <v>89</v>
      </c>
      <c r="F562" t="s">
        <v>16</v>
      </c>
      <c r="G562" t="s">
        <v>91</v>
      </c>
      <c r="H562" s="2">
        <v>30</v>
      </c>
      <c r="I562" s="2">
        <v>2</v>
      </c>
      <c r="J562" s="3">
        <v>38.979999999999997</v>
      </c>
      <c r="K562" t="s">
        <v>13</v>
      </c>
      <c r="L562" s="3">
        <f t="shared" si="24"/>
        <v>1.2993333333333332</v>
      </c>
      <c r="M562" t="str">
        <f t="shared" si="25"/>
        <v>Wednesday</v>
      </c>
      <c r="N562" t="str">
        <f t="shared" si="26"/>
        <v>Medium</v>
      </c>
    </row>
    <row r="563" spans="1:14" x14ac:dyDescent="0.35">
      <c r="A563">
        <v>1499729470</v>
      </c>
      <c r="B563" s="1">
        <v>42926</v>
      </c>
      <c r="C563" t="s">
        <v>11</v>
      </c>
      <c r="D563" t="s">
        <v>19</v>
      </c>
      <c r="E563" t="s">
        <v>89</v>
      </c>
      <c r="F563" t="s">
        <v>16</v>
      </c>
      <c r="G563" t="s">
        <v>90</v>
      </c>
      <c r="H563" s="2">
        <v>21</v>
      </c>
      <c r="I563" s="2">
        <v>1</v>
      </c>
      <c r="J563" s="3">
        <v>39.869999999999997</v>
      </c>
      <c r="K563" t="s">
        <v>13</v>
      </c>
      <c r="L563" s="3">
        <f t="shared" si="24"/>
        <v>1.8985714285714284</v>
      </c>
      <c r="M563" t="str">
        <f t="shared" si="25"/>
        <v>Monday</v>
      </c>
      <c r="N563" t="str">
        <f t="shared" si="26"/>
        <v>Medium</v>
      </c>
    </row>
    <row r="564" spans="1:14" x14ac:dyDescent="0.35">
      <c r="A564">
        <v>1477694641</v>
      </c>
      <c r="B564" s="1">
        <v>42671</v>
      </c>
      <c r="C564" t="s">
        <v>11</v>
      </c>
      <c r="D564" t="s">
        <v>87</v>
      </c>
      <c r="E564" t="s">
        <v>89</v>
      </c>
      <c r="F564" t="s">
        <v>12</v>
      </c>
      <c r="G564" t="s">
        <v>91</v>
      </c>
      <c r="H564" s="2">
        <v>71</v>
      </c>
      <c r="I564" s="2">
        <v>1</v>
      </c>
      <c r="J564" s="3">
        <v>39.97</v>
      </c>
      <c r="K564" t="s">
        <v>13</v>
      </c>
      <c r="L564" s="3">
        <f t="shared" si="24"/>
        <v>0.5629577464788732</v>
      </c>
      <c r="M564" t="str">
        <f t="shared" si="25"/>
        <v>Friday</v>
      </c>
      <c r="N564" t="str">
        <f t="shared" si="26"/>
        <v>Medium</v>
      </c>
    </row>
    <row r="565" spans="1:14" x14ac:dyDescent="0.35">
      <c r="A565">
        <v>1490150619</v>
      </c>
      <c r="B565" s="1">
        <v>42815</v>
      </c>
      <c r="C565" t="s">
        <v>11</v>
      </c>
      <c r="D565" t="s">
        <v>15</v>
      </c>
      <c r="E565" t="s">
        <v>89</v>
      </c>
      <c r="F565" t="s">
        <v>12</v>
      </c>
      <c r="G565" t="s">
        <v>90</v>
      </c>
      <c r="H565" s="2">
        <v>14</v>
      </c>
      <c r="I565" s="2">
        <v>1</v>
      </c>
      <c r="J565" s="3">
        <v>39.979999999999997</v>
      </c>
      <c r="K565" t="s">
        <v>13</v>
      </c>
      <c r="L565" s="3">
        <f t="shared" si="24"/>
        <v>2.8557142857142854</v>
      </c>
      <c r="M565" t="str">
        <f t="shared" si="25"/>
        <v>Tuesday</v>
      </c>
      <c r="N565" t="str">
        <f t="shared" si="26"/>
        <v>Medium</v>
      </c>
    </row>
    <row r="566" spans="1:14" x14ac:dyDescent="0.35">
      <c r="A566">
        <v>1482203319</v>
      </c>
      <c r="B566" s="1">
        <v>42723</v>
      </c>
      <c r="C566" t="s">
        <v>11</v>
      </c>
      <c r="D566" t="s">
        <v>87</v>
      </c>
      <c r="E566" t="s">
        <v>89</v>
      </c>
      <c r="F566" t="s">
        <v>16</v>
      </c>
      <c r="G566" t="s">
        <v>91</v>
      </c>
      <c r="H566" s="2">
        <v>16</v>
      </c>
      <c r="I566" s="2">
        <v>1</v>
      </c>
      <c r="J566" s="3">
        <v>39.99</v>
      </c>
      <c r="K566" t="s">
        <v>13</v>
      </c>
      <c r="L566" s="3">
        <f t="shared" si="24"/>
        <v>2.4993750000000001</v>
      </c>
      <c r="M566" t="str">
        <f t="shared" si="25"/>
        <v>Monday</v>
      </c>
      <c r="N566" t="str">
        <f t="shared" si="26"/>
        <v>Medium</v>
      </c>
    </row>
    <row r="567" spans="1:14" x14ac:dyDescent="0.35">
      <c r="A567">
        <v>1481508973</v>
      </c>
      <c r="B567" s="1">
        <v>42715</v>
      </c>
      <c r="C567" t="s">
        <v>11</v>
      </c>
      <c r="D567" t="s">
        <v>87</v>
      </c>
      <c r="E567" t="s">
        <v>89</v>
      </c>
      <c r="F567" t="s">
        <v>12</v>
      </c>
      <c r="G567" t="s">
        <v>91</v>
      </c>
      <c r="H567" s="2">
        <v>14</v>
      </c>
      <c r="I567" s="2">
        <v>1</v>
      </c>
      <c r="J567" s="3">
        <v>39.99</v>
      </c>
      <c r="K567" t="s">
        <v>13</v>
      </c>
      <c r="L567" s="3">
        <f t="shared" si="24"/>
        <v>2.8564285714285718</v>
      </c>
      <c r="M567" t="str">
        <f t="shared" si="25"/>
        <v>Sunday</v>
      </c>
      <c r="N567" t="str">
        <f t="shared" si="26"/>
        <v>Medium</v>
      </c>
    </row>
    <row r="568" spans="1:14" x14ac:dyDescent="0.35">
      <c r="A568">
        <v>1475700100</v>
      </c>
      <c r="B568" s="1">
        <v>42648</v>
      </c>
      <c r="C568" t="s">
        <v>11</v>
      </c>
      <c r="D568" t="s">
        <v>24</v>
      </c>
      <c r="E568" t="s">
        <v>89</v>
      </c>
      <c r="F568" t="s">
        <v>12</v>
      </c>
      <c r="G568" t="s">
        <v>91</v>
      </c>
      <c r="H568" s="2">
        <v>14</v>
      </c>
      <c r="I568" s="2">
        <v>1</v>
      </c>
      <c r="J568" s="3">
        <v>39.99</v>
      </c>
      <c r="K568" t="s">
        <v>13</v>
      </c>
      <c r="L568" s="3">
        <f t="shared" si="24"/>
        <v>2.8564285714285718</v>
      </c>
      <c r="M568" t="str">
        <f t="shared" si="25"/>
        <v>Wednesday</v>
      </c>
      <c r="N568" t="str">
        <f t="shared" si="26"/>
        <v>Medium</v>
      </c>
    </row>
    <row r="569" spans="1:14" x14ac:dyDescent="0.35">
      <c r="A569">
        <v>1478668092</v>
      </c>
      <c r="B569" s="1">
        <v>42682</v>
      </c>
      <c r="C569" t="s">
        <v>11</v>
      </c>
      <c r="D569" t="s">
        <v>87</v>
      </c>
      <c r="E569" t="s">
        <v>89</v>
      </c>
      <c r="F569" t="s">
        <v>16</v>
      </c>
      <c r="G569" t="s">
        <v>91</v>
      </c>
      <c r="H569" s="2">
        <v>18</v>
      </c>
      <c r="I569" s="2">
        <v>1</v>
      </c>
      <c r="J569" s="3">
        <v>39.99</v>
      </c>
      <c r="K569" t="s">
        <v>13</v>
      </c>
      <c r="L569" s="3">
        <f t="shared" si="24"/>
        <v>2.2216666666666667</v>
      </c>
      <c r="M569" t="str">
        <f t="shared" si="25"/>
        <v>Tuesday</v>
      </c>
      <c r="N569" t="str">
        <f t="shared" si="26"/>
        <v>Medium</v>
      </c>
    </row>
    <row r="570" spans="1:14" x14ac:dyDescent="0.35">
      <c r="A570">
        <v>1478302963</v>
      </c>
      <c r="B570" s="1">
        <v>42678</v>
      </c>
      <c r="C570" t="s">
        <v>11</v>
      </c>
      <c r="D570" t="s">
        <v>87</v>
      </c>
      <c r="E570" t="s">
        <v>89</v>
      </c>
      <c r="F570" t="s">
        <v>12</v>
      </c>
      <c r="G570" t="s">
        <v>91</v>
      </c>
      <c r="H570" s="2">
        <v>29</v>
      </c>
      <c r="I570" s="2">
        <v>1</v>
      </c>
      <c r="J570" s="3">
        <v>39.99</v>
      </c>
      <c r="K570" t="s">
        <v>13</v>
      </c>
      <c r="L570" s="3">
        <f t="shared" si="24"/>
        <v>1.3789655172413793</v>
      </c>
      <c r="M570" t="str">
        <f t="shared" si="25"/>
        <v>Friday</v>
      </c>
      <c r="N570" t="str">
        <f t="shared" si="26"/>
        <v>Medium</v>
      </c>
    </row>
    <row r="571" spans="1:14" x14ac:dyDescent="0.35">
      <c r="A571">
        <v>1472396788</v>
      </c>
      <c r="B571" s="1">
        <v>42610</v>
      </c>
      <c r="C571" t="s">
        <v>11</v>
      </c>
      <c r="D571" t="s">
        <v>87</v>
      </c>
      <c r="E571" t="s">
        <v>89</v>
      </c>
      <c r="F571" t="s">
        <v>12</v>
      </c>
      <c r="G571" t="s">
        <v>90</v>
      </c>
      <c r="H571" s="2">
        <v>41</v>
      </c>
      <c r="I571" s="2">
        <v>1</v>
      </c>
      <c r="J571" s="3">
        <v>40.18</v>
      </c>
      <c r="K571" t="s">
        <v>13</v>
      </c>
      <c r="L571" s="3">
        <f t="shared" si="24"/>
        <v>0.98</v>
      </c>
      <c r="M571" t="str">
        <f t="shared" si="25"/>
        <v>Sunday</v>
      </c>
      <c r="N571" t="str">
        <f t="shared" si="26"/>
        <v>Medium</v>
      </c>
    </row>
    <row r="572" spans="1:14" x14ac:dyDescent="0.35">
      <c r="A572">
        <v>1475894968</v>
      </c>
      <c r="B572" s="1">
        <v>42650</v>
      </c>
      <c r="C572" t="s">
        <v>11</v>
      </c>
      <c r="D572" t="s">
        <v>77</v>
      </c>
      <c r="E572" t="s">
        <v>89</v>
      </c>
      <c r="F572" t="s">
        <v>12</v>
      </c>
      <c r="G572" t="s">
        <v>90</v>
      </c>
      <c r="H572" s="2">
        <v>46</v>
      </c>
      <c r="I572" s="2">
        <v>1</v>
      </c>
      <c r="J572" s="3">
        <v>40.369999999999997</v>
      </c>
      <c r="K572" t="s">
        <v>13</v>
      </c>
      <c r="L572" s="3">
        <f t="shared" si="24"/>
        <v>0.87760869565217381</v>
      </c>
      <c r="M572" t="str">
        <f t="shared" si="25"/>
        <v>Friday</v>
      </c>
      <c r="N572" t="str">
        <f t="shared" si="26"/>
        <v>Medium</v>
      </c>
    </row>
    <row r="573" spans="1:14" x14ac:dyDescent="0.35">
      <c r="A573">
        <v>1473266902</v>
      </c>
      <c r="B573" s="1">
        <v>42620</v>
      </c>
      <c r="C573" t="s">
        <v>11</v>
      </c>
      <c r="D573" t="s">
        <v>87</v>
      </c>
      <c r="E573" t="s">
        <v>89</v>
      </c>
      <c r="F573" t="s">
        <v>39</v>
      </c>
      <c r="G573" t="s">
        <v>91</v>
      </c>
      <c r="H573" s="2">
        <v>20</v>
      </c>
      <c r="I573" s="2">
        <v>1</v>
      </c>
      <c r="J573" s="3">
        <v>40.4</v>
      </c>
      <c r="K573" t="s">
        <v>13</v>
      </c>
      <c r="L573" s="3">
        <f t="shared" si="24"/>
        <v>2.02</v>
      </c>
      <c r="M573" t="str">
        <f t="shared" si="25"/>
        <v>Wednesday</v>
      </c>
      <c r="N573" t="str">
        <f t="shared" si="26"/>
        <v>Medium</v>
      </c>
    </row>
    <row r="574" spans="1:14" x14ac:dyDescent="0.35">
      <c r="A574">
        <v>1472348975</v>
      </c>
      <c r="B574" s="1">
        <v>42609</v>
      </c>
      <c r="C574" t="s">
        <v>11</v>
      </c>
      <c r="D574" t="s">
        <v>87</v>
      </c>
      <c r="E574" t="s">
        <v>89</v>
      </c>
      <c r="F574" t="s">
        <v>12</v>
      </c>
      <c r="G574" t="s">
        <v>91</v>
      </c>
      <c r="H574" s="2">
        <v>39</v>
      </c>
      <c r="I574" s="2">
        <v>1</v>
      </c>
      <c r="J574" s="3">
        <v>40.47</v>
      </c>
      <c r="K574" t="s">
        <v>13</v>
      </c>
      <c r="L574" s="3">
        <f t="shared" si="24"/>
        <v>1.0376923076923077</v>
      </c>
      <c r="M574" t="str">
        <f t="shared" si="25"/>
        <v>Saturday</v>
      </c>
      <c r="N574" t="str">
        <f t="shared" si="26"/>
        <v>Medium</v>
      </c>
    </row>
    <row r="575" spans="1:14" x14ac:dyDescent="0.35">
      <c r="A575">
        <v>1472528813</v>
      </c>
      <c r="B575" s="1">
        <v>42611</v>
      </c>
      <c r="C575" t="s">
        <v>11</v>
      </c>
      <c r="D575" t="s">
        <v>87</v>
      </c>
      <c r="E575" t="s">
        <v>89</v>
      </c>
      <c r="F575" t="s">
        <v>16</v>
      </c>
      <c r="G575" t="s">
        <v>90</v>
      </c>
      <c r="H575" s="2">
        <v>22</v>
      </c>
      <c r="I575" s="2">
        <v>1</v>
      </c>
      <c r="J575" s="3">
        <v>40.479999999999997</v>
      </c>
      <c r="K575" t="s">
        <v>13</v>
      </c>
      <c r="L575" s="3">
        <f t="shared" si="24"/>
        <v>1.8399999999999999</v>
      </c>
      <c r="M575" t="str">
        <f t="shared" si="25"/>
        <v>Monday</v>
      </c>
      <c r="N575" t="str">
        <f t="shared" si="26"/>
        <v>Medium</v>
      </c>
    </row>
    <row r="576" spans="1:14" x14ac:dyDescent="0.35">
      <c r="A576">
        <v>1471721060</v>
      </c>
      <c r="B576" s="1">
        <v>42602</v>
      </c>
      <c r="C576" t="s">
        <v>11</v>
      </c>
      <c r="D576" t="s">
        <v>87</v>
      </c>
      <c r="E576" t="s">
        <v>89</v>
      </c>
      <c r="F576" t="s">
        <v>16</v>
      </c>
      <c r="G576" t="s">
        <v>90</v>
      </c>
      <c r="H576" s="2">
        <v>16</v>
      </c>
      <c r="I576" s="2">
        <v>1</v>
      </c>
      <c r="J576" s="3">
        <v>40.479999999999997</v>
      </c>
      <c r="K576" t="s">
        <v>13</v>
      </c>
      <c r="L576" s="3">
        <f t="shared" si="24"/>
        <v>2.5299999999999998</v>
      </c>
      <c r="M576" t="str">
        <f t="shared" si="25"/>
        <v>Saturday</v>
      </c>
      <c r="N576" t="str">
        <f t="shared" si="26"/>
        <v>Medium</v>
      </c>
    </row>
    <row r="577" spans="1:14" x14ac:dyDescent="0.35">
      <c r="A577">
        <v>1495653119</v>
      </c>
      <c r="B577" s="1">
        <v>42879</v>
      </c>
      <c r="C577" t="s">
        <v>11</v>
      </c>
      <c r="D577" t="s">
        <v>17</v>
      </c>
      <c r="E577" t="s">
        <v>89</v>
      </c>
      <c r="F577" t="s">
        <v>12</v>
      </c>
      <c r="G577" t="s">
        <v>90</v>
      </c>
      <c r="H577" s="2">
        <v>28</v>
      </c>
      <c r="I577" s="2">
        <v>1</v>
      </c>
      <c r="J577" s="3">
        <v>40.97</v>
      </c>
      <c r="K577" t="s">
        <v>13</v>
      </c>
      <c r="L577" s="3">
        <f t="shared" si="24"/>
        <v>1.4632142857142856</v>
      </c>
      <c r="M577" t="str">
        <f t="shared" si="25"/>
        <v>Wednesday</v>
      </c>
      <c r="N577" t="str">
        <f t="shared" si="26"/>
        <v>Medium</v>
      </c>
    </row>
    <row r="578" spans="1:14" x14ac:dyDescent="0.35">
      <c r="A578">
        <v>1480571493</v>
      </c>
      <c r="B578" s="1">
        <v>42704</v>
      </c>
      <c r="C578" t="s">
        <v>11</v>
      </c>
      <c r="D578" t="s">
        <v>87</v>
      </c>
      <c r="E578" t="s">
        <v>89</v>
      </c>
      <c r="F578" t="s">
        <v>16</v>
      </c>
      <c r="G578" t="s">
        <v>91</v>
      </c>
      <c r="H578" s="2">
        <v>18</v>
      </c>
      <c r="I578" s="2">
        <v>1</v>
      </c>
      <c r="J578" s="3">
        <v>41.98</v>
      </c>
      <c r="K578" t="s">
        <v>13</v>
      </c>
      <c r="L578" s="3">
        <f t="shared" si="24"/>
        <v>2.3322222222222222</v>
      </c>
      <c r="M578" t="str">
        <f t="shared" si="25"/>
        <v>Wednesday</v>
      </c>
      <c r="N578" t="str">
        <f t="shared" si="26"/>
        <v>Medium</v>
      </c>
    </row>
    <row r="579" spans="1:14" x14ac:dyDescent="0.35">
      <c r="A579">
        <v>1480480557</v>
      </c>
      <c r="B579" s="1">
        <v>42703</v>
      </c>
      <c r="C579" t="s">
        <v>11</v>
      </c>
      <c r="D579" t="s">
        <v>18</v>
      </c>
      <c r="E579" t="s">
        <v>89</v>
      </c>
      <c r="F579" t="s">
        <v>16</v>
      </c>
      <c r="G579" t="s">
        <v>91</v>
      </c>
      <c r="H579" s="2">
        <v>42</v>
      </c>
      <c r="I579" s="2">
        <v>1</v>
      </c>
      <c r="J579" s="3">
        <v>41.98</v>
      </c>
      <c r="K579" t="s">
        <v>13</v>
      </c>
      <c r="L579" s="3">
        <f t="shared" ref="L579:L642" si="27">J579/H579</f>
        <v>0.99952380952380948</v>
      </c>
      <c r="M579" t="str">
        <f t="shared" ref="M579:M642" si="28">TEXT(B579, "dddd")</f>
        <v>Tuesday</v>
      </c>
      <c r="N579" t="str">
        <f t="shared" ref="N579:N642" si="29">IF(J579&gt;200,"High",IF(J579&gt;=20,"Medium","Low"))</f>
        <v>Medium</v>
      </c>
    </row>
    <row r="580" spans="1:14" x14ac:dyDescent="0.35">
      <c r="A580">
        <v>1480636441</v>
      </c>
      <c r="B580" s="1">
        <v>42705</v>
      </c>
      <c r="C580" t="s">
        <v>11</v>
      </c>
      <c r="D580" t="s">
        <v>15</v>
      </c>
      <c r="E580" t="s">
        <v>89</v>
      </c>
      <c r="F580" t="s">
        <v>12</v>
      </c>
      <c r="G580" t="s">
        <v>91</v>
      </c>
      <c r="H580" s="2">
        <v>29</v>
      </c>
      <c r="I580" s="2">
        <v>1</v>
      </c>
      <c r="J580" s="3">
        <v>41.98</v>
      </c>
      <c r="K580" t="s">
        <v>13</v>
      </c>
      <c r="L580" s="3">
        <f t="shared" si="27"/>
        <v>1.4475862068965517</v>
      </c>
      <c r="M580" t="str">
        <f t="shared" si="28"/>
        <v>Thursday</v>
      </c>
      <c r="N580" t="str">
        <f t="shared" si="29"/>
        <v>Medium</v>
      </c>
    </row>
    <row r="581" spans="1:14" x14ac:dyDescent="0.35">
      <c r="A581">
        <v>1481393164</v>
      </c>
      <c r="B581" s="1">
        <v>42714</v>
      </c>
      <c r="C581" t="s">
        <v>11</v>
      </c>
      <c r="D581" t="s">
        <v>87</v>
      </c>
      <c r="E581" t="s">
        <v>89</v>
      </c>
      <c r="F581" t="s">
        <v>16</v>
      </c>
      <c r="G581" t="s">
        <v>91</v>
      </c>
      <c r="H581" s="2">
        <v>41</v>
      </c>
      <c r="I581" s="2">
        <v>1</v>
      </c>
      <c r="J581" s="3">
        <v>41.98</v>
      </c>
      <c r="K581" t="s">
        <v>13</v>
      </c>
      <c r="L581" s="3">
        <f t="shared" si="27"/>
        <v>1.0239024390243903</v>
      </c>
      <c r="M581" t="str">
        <f t="shared" si="28"/>
        <v>Saturday</v>
      </c>
      <c r="N581" t="str">
        <f t="shared" si="29"/>
        <v>Medium</v>
      </c>
    </row>
    <row r="582" spans="1:14" x14ac:dyDescent="0.35">
      <c r="A582">
        <v>1493947909</v>
      </c>
      <c r="B582" s="1">
        <v>42859</v>
      </c>
      <c r="C582" t="s">
        <v>11</v>
      </c>
      <c r="D582" t="s">
        <v>15</v>
      </c>
      <c r="E582" t="s">
        <v>89</v>
      </c>
      <c r="F582" t="s">
        <v>12</v>
      </c>
      <c r="G582" t="s">
        <v>91</v>
      </c>
      <c r="H582" s="2">
        <v>15</v>
      </c>
      <c r="I582" s="2">
        <v>1</v>
      </c>
      <c r="J582" s="3">
        <v>41.99</v>
      </c>
      <c r="K582" t="s">
        <v>13</v>
      </c>
      <c r="L582" s="3">
        <f t="shared" si="27"/>
        <v>2.7993333333333337</v>
      </c>
      <c r="M582" t="str">
        <f t="shared" si="28"/>
        <v>Thursday</v>
      </c>
      <c r="N582" t="str">
        <f t="shared" si="29"/>
        <v>Medium</v>
      </c>
    </row>
    <row r="583" spans="1:14" x14ac:dyDescent="0.35">
      <c r="A583">
        <v>1480267791</v>
      </c>
      <c r="B583" s="1">
        <v>42701</v>
      </c>
      <c r="C583" t="s">
        <v>11</v>
      </c>
      <c r="D583" t="s">
        <v>87</v>
      </c>
      <c r="E583" t="s">
        <v>89</v>
      </c>
      <c r="F583" t="s">
        <v>12</v>
      </c>
      <c r="G583" t="s">
        <v>91</v>
      </c>
      <c r="H583" s="2">
        <v>26</v>
      </c>
      <c r="I583" s="2">
        <v>1</v>
      </c>
      <c r="J583" s="3">
        <v>42.47</v>
      </c>
      <c r="K583" t="s">
        <v>13</v>
      </c>
      <c r="L583" s="3">
        <f t="shared" si="27"/>
        <v>1.6334615384615385</v>
      </c>
      <c r="M583" t="str">
        <f t="shared" si="28"/>
        <v>Sunday</v>
      </c>
      <c r="N583" t="str">
        <f t="shared" si="29"/>
        <v>Medium</v>
      </c>
    </row>
    <row r="584" spans="1:14" x14ac:dyDescent="0.35">
      <c r="A584">
        <v>1473563927</v>
      </c>
      <c r="B584" s="1">
        <v>42623</v>
      </c>
      <c r="C584" t="s">
        <v>11</v>
      </c>
      <c r="D584" t="s">
        <v>87</v>
      </c>
      <c r="E584" t="s">
        <v>89</v>
      </c>
      <c r="F584" t="s">
        <v>12</v>
      </c>
      <c r="G584" t="s">
        <v>90</v>
      </c>
      <c r="H584" s="2">
        <v>38</v>
      </c>
      <c r="I584" s="2">
        <v>1</v>
      </c>
      <c r="J584" s="3">
        <v>42.85</v>
      </c>
      <c r="K584" t="s">
        <v>13</v>
      </c>
      <c r="L584" s="3">
        <f t="shared" si="27"/>
        <v>1.1276315789473685</v>
      </c>
      <c r="M584" t="str">
        <f t="shared" si="28"/>
        <v>Saturday</v>
      </c>
      <c r="N584" t="str">
        <f t="shared" si="29"/>
        <v>Medium</v>
      </c>
    </row>
    <row r="585" spans="1:14" x14ac:dyDescent="0.35">
      <c r="A585">
        <v>1491454128</v>
      </c>
      <c r="B585" s="1">
        <v>42830</v>
      </c>
      <c r="C585" t="s">
        <v>11</v>
      </c>
      <c r="D585" t="s">
        <v>23</v>
      </c>
      <c r="E585" t="s">
        <v>89</v>
      </c>
      <c r="F585" t="s">
        <v>12</v>
      </c>
      <c r="G585" t="s">
        <v>91</v>
      </c>
      <c r="H585" s="2">
        <v>23</v>
      </c>
      <c r="I585" s="2">
        <v>1</v>
      </c>
      <c r="J585" s="3">
        <v>42.97</v>
      </c>
      <c r="K585" t="s">
        <v>13</v>
      </c>
      <c r="L585" s="3">
        <f t="shared" si="27"/>
        <v>1.8682608695652174</v>
      </c>
      <c r="M585" t="str">
        <f t="shared" si="28"/>
        <v>Wednesday</v>
      </c>
      <c r="N585" t="str">
        <f t="shared" si="29"/>
        <v>Medium</v>
      </c>
    </row>
    <row r="586" spans="1:14" x14ac:dyDescent="0.35">
      <c r="A586">
        <v>1497208111</v>
      </c>
      <c r="B586" s="1">
        <v>42897</v>
      </c>
      <c r="C586" t="s">
        <v>11</v>
      </c>
      <c r="D586" t="s">
        <v>87</v>
      </c>
      <c r="E586" t="s">
        <v>89</v>
      </c>
      <c r="F586" t="s">
        <v>16</v>
      </c>
      <c r="G586" t="s">
        <v>91</v>
      </c>
      <c r="H586" s="2">
        <v>31</v>
      </c>
      <c r="I586" s="2">
        <v>1</v>
      </c>
      <c r="J586" s="3">
        <v>42.97</v>
      </c>
      <c r="K586" t="s">
        <v>13</v>
      </c>
      <c r="L586" s="3">
        <f t="shared" si="27"/>
        <v>1.3861290322580644</v>
      </c>
      <c r="M586" t="str">
        <f t="shared" si="28"/>
        <v>Sunday</v>
      </c>
      <c r="N586" t="str">
        <f t="shared" si="29"/>
        <v>Medium</v>
      </c>
    </row>
    <row r="587" spans="1:14" x14ac:dyDescent="0.35">
      <c r="A587">
        <v>1482203039</v>
      </c>
      <c r="B587" s="1">
        <v>42723</v>
      </c>
      <c r="C587" t="s">
        <v>11</v>
      </c>
      <c r="D587" t="s">
        <v>87</v>
      </c>
      <c r="E587" t="s">
        <v>89</v>
      </c>
      <c r="F587" t="s">
        <v>12</v>
      </c>
      <c r="G587" t="s">
        <v>91</v>
      </c>
      <c r="H587" s="2">
        <v>37</v>
      </c>
      <c r="I587" s="2">
        <v>1</v>
      </c>
      <c r="J587" s="3">
        <v>43.21</v>
      </c>
      <c r="K587" t="s">
        <v>13</v>
      </c>
      <c r="L587" s="3">
        <f t="shared" si="27"/>
        <v>1.1678378378378378</v>
      </c>
      <c r="M587" t="str">
        <f t="shared" si="28"/>
        <v>Monday</v>
      </c>
      <c r="N587" t="str">
        <f t="shared" si="29"/>
        <v>Medium</v>
      </c>
    </row>
    <row r="588" spans="1:14" x14ac:dyDescent="0.35">
      <c r="A588">
        <v>1497969297</v>
      </c>
      <c r="B588" s="1">
        <v>42906</v>
      </c>
      <c r="C588" t="s">
        <v>11</v>
      </c>
      <c r="D588" t="s">
        <v>87</v>
      </c>
      <c r="E588" t="s">
        <v>89</v>
      </c>
      <c r="F588" t="s">
        <v>12</v>
      </c>
      <c r="G588" t="s">
        <v>91</v>
      </c>
      <c r="H588" s="2">
        <v>44</v>
      </c>
      <c r="I588" s="2">
        <v>1</v>
      </c>
      <c r="J588" s="3">
        <v>43.37</v>
      </c>
      <c r="K588" t="s">
        <v>13</v>
      </c>
      <c r="L588" s="3">
        <f t="shared" si="27"/>
        <v>0.9856818181818181</v>
      </c>
      <c r="M588" t="str">
        <f t="shared" si="28"/>
        <v>Tuesday</v>
      </c>
      <c r="N588" t="str">
        <f t="shared" si="29"/>
        <v>Medium</v>
      </c>
    </row>
    <row r="589" spans="1:14" x14ac:dyDescent="0.35">
      <c r="A589">
        <v>1501451104</v>
      </c>
      <c r="B589" s="1">
        <v>42946</v>
      </c>
      <c r="C589" t="s">
        <v>11</v>
      </c>
      <c r="D589" t="s">
        <v>14</v>
      </c>
      <c r="E589" t="s">
        <v>89</v>
      </c>
      <c r="F589" t="s">
        <v>12</v>
      </c>
      <c r="G589" t="s">
        <v>90</v>
      </c>
      <c r="H589" s="2">
        <v>45</v>
      </c>
      <c r="I589" s="2">
        <v>1</v>
      </c>
      <c r="J589" s="3">
        <v>43.38</v>
      </c>
      <c r="K589" t="s">
        <v>13</v>
      </c>
      <c r="L589" s="3">
        <f t="shared" si="27"/>
        <v>0.96400000000000008</v>
      </c>
      <c r="M589" t="str">
        <f t="shared" si="28"/>
        <v>Sunday</v>
      </c>
      <c r="N589" t="str">
        <f t="shared" si="29"/>
        <v>Medium</v>
      </c>
    </row>
    <row r="590" spans="1:14" x14ac:dyDescent="0.35">
      <c r="A590">
        <v>1470983014</v>
      </c>
      <c r="B590" s="1">
        <v>42593</v>
      </c>
      <c r="C590" t="s">
        <v>11</v>
      </c>
      <c r="D590" t="s">
        <v>31</v>
      </c>
      <c r="E590" t="s">
        <v>89</v>
      </c>
      <c r="F590" t="s">
        <v>16</v>
      </c>
      <c r="G590" t="s">
        <v>90</v>
      </c>
      <c r="H590" s="2">
        <v>31</v>
      </c>
      <c r="I590" s="2">
        <v>1</v>
      </c>
      <c r="J590" s="3">
        <v>43.44</v>
      </c>
      <c r="K590" t="s">
        <v>13</v>
      </c>
      <c r="L590" s="3">
        <f t="shared" si="27"/>
        <v>1.401290322580645</v>
      </c>
      <c r="M590" t="str">
        <f t="shared" si="28"/>
        <v>Thursday</v>
      </c>
      <c r="N590" t="str">
        <f t="shared" si="29"/>
        <v>Medium</v>
      </c>
    </row>
    <row r="591" spans="1:14" x14ac:dyDescent="0.35">
      <c r="A591">
        <v>1481045020</v>
      </c>
      <c r="B591" s="1">
        <v>42710</v>
      </c>
      <c r="C591" t="s">
        <v>11</v>
      </c>
      <c r="D591" t="s">
        <v>87</v>
      </c>
      <c r="E591" t="s">
        <v>89</v>
      </c>
      <c r="F591" t="s">
        <v>39</v>
      </c>
      <c r="G591" t="s">
        <v>91</v>
      </c>
      <c r="H591" s="2">
        <v>17</v>
      </c>
      <c r="I591" s="2">
        <v>1</v>
      </c>
      <c r="J591" s="3">
        <v>43.47</v>
      </c>
      <c r="K591" t="s">
        <v>13</v>
      </c>
      <c r="L591" s="3">
        <f t="shared" si="27"/>
        <v>2.5570588235294118</v>
      </c>
      <c r="M591" t="str">
        <f t="shared" si="28"/>
        <v>Tuesday</v>
      </c>
      <c r="N591" t="str">
        <f t="shared" si="29"/>
        <v>Medium</v>
      </c>
    </row>
    <row r="592" spans="1:14" x14ac:dyDescent="0.35">
      <c r="A592">
        <v>1498088552</v>
      </c>
      <c r="B592" s="1">
        <v>42907</v>
      </c>
      <c r="C592" t="s">
        <v>11</v>
      </c>
      <c r="D592" t="s">
        <v>87</v>
      </c>
      <c r="E592" t="s">
        <v>89</v>
      </c>
      <c r="F592" t="s">
        <v>12</v>
      </c>
      <c r="G592" t="s">
        <v>91</v>
      </c>
      <c r="H592" s="2">
        <v>30</v>
      </c>
      <c r="I592" s="2">
        <v>1</v>
      </c>
      <c r="J592" s="3">
        <v>43.57</v>
      </c>
      <c r="K592" t="s">
        <v>13</v>
      </c>
      <c r="L592" s="3">
        <f t="shared" si="27"/>
        <v>1.4523333333333333</v>
      </c>
      <c r="M592" t="str">
        <f t="shared" si="28"/>
        <v>Wednesday</v>
      </c>
      <c r="N592" t="str">
        <f t="shared" si="29"/>
        <v>Medium</v>
      </c>
    </row>
    <row r="593" spans="1:14" x14ac:dyDescent="0.35">
      <c r="A593">
        <v>1497545921</v>
      </c>
      <c r="B593" s="1">
        <v>42901</v>
      </c>
      <c r="C593" t="s">
        <v>11</v>
      </c>
      <c r="D593" t="s">
        <v>87</v>
      </c>
      <c r="E593" t="s">
        <v>89</v>
      </c>
      <c r="F593" t="s">
        <v>12</v>
      </c>
      <c r="G593" t="s">
        <v>91</v>
      </c>
      <c r="H593" s="2">
        <v>29</v>
      </c>
      <c r="I593" s="2">
        <v>1</v>
      </c>
      <c r="J593" s="3">
        <v>43.66</v>
      </c>
      <c r="K593" t="s">
        <v>13</v>
      </c>
      <c r="L593" s="3">
        <f t="shared" si="27"/>
        <v>1.5055172413793103</v>
      </c>
      <c r="M593" t="str">
        <f t="shared" si="28"/>
        <v>Thursday</v>
      </c>
      <c r="N593" t="str">
        <f t="shared" si="29"/>
        <v>Medium</v>
      </c>
    </row>
    <row r="594" spans="1:14" x14ac:dyDescent="0.35">
      <c r="A594">
        <v>1476180728</v>
      </c>
      <c r="B594" s="1">
        <v>42654</v>
      </c>
      <c r="C594" t="s">
        <v>11</v>
      </c>
      <c r="D594" t="s">
        <v>87</v>
      </c>
      <c r="E594" t="s">
        <v>89</v>
      </c>
      <c r="F594" t="s">
        <v>12</v>
      </c>
      <c r="G594" t="s">
        <v>91</v>
      </c>
      <c r="H594" s="2">
        <v>27</v>
      </c>
      <c r="I594" s="2">
        <v>1</v>
      </c>
      <c r="J594" s="3">
        <v>43.88</v>
      </c>
      <c r="K594" t="s">
        <v>13</v>
      </c>
      <c r="L594" s="3">
        <f t="shared" si="27"/>
        <v>1.6251851851851853</v>
      </c>
      <c r="M594" t="str">
        <f t="shared" si="28"/>
        <v>Tuesday</v>
      </c>
      <c r="N594" t="str">
        <f t="shared" si="29"/>
        <v>Medium</v>
      </c>
    </row>
    <row r="595" spans="1:14" x14ac:dyDescent="0.35">
      <c r="A595">
        <v>1490309317</v>
      </c>
      <c r="B595" s="1">
        <v>42817</v>
      </c>
      <c r="C595" t="s">
        <v>11</v>
      </c>
      <c r="D595" t="s">
        <v>87</v>
      </c>
      <c r="E595" t="s">
        <v>89</v>
      </c>
      <c r="F595" t="s">
        <v>12</v>
      </c>
      <c r="G595" t="s">
        <v>90</v>
      </c>
      <c r="H595" s="2">
        <v>45</v>
      </c>
      <c r="I595" s="2">
        <v>1</v>
      </c>
      <c r="J595" s="3">
        <v>43.96</v>
      </c>
      <c r="K595" t="s">
        <v>13</v>
      </c>
      <c r="L595" s="3">
        <f t="shared" si="27"/>
        <v>0.97688888888888892</v>
      </c>
      <c r="M595" t="str">
        <f t="shared" si="28"/>
        <v>Thursday</v>
      </c>
      <c r="N595" t="str">
        <f t="shared" si="29"/>
        <v>Medium</v>
      </c>
    </row>
    <row r="596" spans="1:14" x14ac:dyDescent="0.35">
      <c r="A596">
        <v>1495421113</v>
      </c>
      <c r="B596" s="1">
        <v>42876</v>
      </c>
      <c r="C596" t="s">
        <v>11</v>
      </c>
      <c r="D596" t="s">
        <v>34</v>
      </c>
      <c r="E596" t="s">
        <v>89</v>
      </c>
      <c r="F596" t="s">
        <v>16</v>
      </c>
      <c r="G596" t="s">
        <v>90</v>
      </c>
      <c r="H596" s="2">
        <v>20</v>
      </c>
      <c r="I596" s="2">
        <v>1</v>
      </c>
      <c r="J596" s="3">
        <v>43.96</v>
      </c>
      <c r="K596" t="s">
        <v>13</v>
      </c>
      <c r="L596" s="3">
        <f t="shared" si="27"/>
        <v>2.198</v>
      </c>
      <c r="M596" t="str">
        <f t="shared" si="28"/>
        <v>Sunday</v>
      </c>
      <c r="N596" t="str">
        <f t="shared" si="29"/>
        <v>Medium</v>
      </c>
    </row>
    <row r="597" spans="1:14" x14ac:dyDescent="0.35">
      <c r="A597">
        <v>1479050072</v>
      </c>
      <c r="B597" s="1">
        <v>42687</v>
      </c>
      <c r="C597" t="s">
        <v>11</v>
      </c>
      <c r="D597" t="s">
        <v>87</v>
      </c>
      <c r="E597" t="s">
        <v>89</v>
      </c>
      <c r="F597" t="s">
        <v>12</v>
      </c>
      <c r="G597" t="s">
        <v>91</v>
      </c>
      <c r="H597" s="2">
        <v>18</v>
      </c>
      <c r="I597" s="2">
        <v>1</v>
      </c>
      <c r="J597" s="3">
        <v>43.98</v>
      </c>
      <c r="K597" t="s">
        <v>13</v>
      </c>
      <c r="L597" s="3">
        <f t="shared" si="27"/>
        <v>2.4433333333333334</v>
      </c>
      <c r="M597" t="str">
        <f t="shared" si="28"/>
        <v>Sunday</v>
      </c>
      <c r="N597" t="str">
        <f t="shared" si="29"/>
        <v>Medium</v>
      </c>
    </row>
    <row r="598" spans="1:14" x14ac:dyDescent="0.35">
      <c r="A598">
        <v>1482379694</v>
      </c>
      <c r="B598" s="1">
        <v>42725</v>
      </c>
      <c r="C598" t="s">
        <v>11</v>
      </c>
      <c r="D598" t="s">
        <v>27</v>
      </c>
      <c r="E598" t="s">
        <v>89</v>
      </c>
      <c r="F598" t="s">
        <v>16</v>
      </c>
      <c r="G598" t="s">
        <v>91</v>
      </c>
      <c r="H598" s="2">
        <v>9</v>
      </c>
      <c r="I598" s="2">
        <v>1</v>
      </c>
      <c r="J598" s="3">
        <v>43.98</v>
      </c>
      <c r="K598" t="s">
        <v>13</v>
      </c>
      <c r="L598" s="3">
        <f t="shared" si="27"/>
        <v>4.8866666666666667</v>
      </c>
      <c r="M598" t="str">
        <f t="shared" si="28"/>
        <v>Wednesday</v>
      </c>
      <c r="N598" t="str">
        <f t="shared" si="29"/>
        <v>Medium</v>
      </c>
    </row>
    <row r="599" spans="1:14" x14ac:dyDescent="0.35">
      <c r="A599">
        <v>1472594569</v>
      </c>
      <c r="B599" s="1">
        <v>42612</v>
      </c>
      <c r="C599" t="s">
        <v>11</v>
      </c>
      <c r="D599" t="s">
        <v>87</v>
      </c>
      <c r="E599" t="s">
        <v>89</v>
      </c>
      <c r="F599" t="s">
        <v>12</v>
      </c>
      <c r="G599" t="s">
        <v>91</v>
      </c>
      <c r="H599" s="2">
        <v>27</v>
      </c>
      <c r="I599" s="2">
        <v>1</v>
      </c>
      <c r="J599" s="3">
        <v>44.5</v>
      </c>
      <c r="K599" t="s">
        <v>13</v>
      </c>
      <c r="L599" s="3">
        <f t="shared" si="27"/>
        <v>1.6481481481481481</v>
      </c>
      <c r="M599" t="str">
        <f t="shared" si="28"/>
        <v>Tuesday</v>
      </c>
      <c r="N599" t="str">
        <f t="shared" si="29"/>
        <v>Medium</v>
      </c>
    </row>
    <row r="600" spans="1:14" x14ac:dyDescent="0.35">
      <c r="A600">
        <v>1481980601</v>
      </c>
      <c r="B600" s="1">
        <v>42721</v>
      </c>
      <c r="C600" t="s">
        <v>11</v>
      </c>
      <c r="D600" t="s">
        <v>18</v>
      </c>
      <c r="E600" t="s">
        <v>89</v>
      </c>
      <c r="F600" t="s">
        <v>16</v>
      </c>
      <c r="G600" t="s">
        <v>91</v>
      </c>
      <c r="H600" s="2">
        <v>52</v>
      </c>
      <c r="I600" s="2">
        <v>1</v>
      </c>
      <c r="J600" s="3">
        <v>44.89</v>
      </c>
      <c r="K600" t="s">
        <v>13</v>
      </c>
      <c r="L600" s="3">
        <f t="shared" si="27"/>
        <v>0.86326923076923079</v>
      </c>
      <c r="M600" t="str">
        <f t="shared" si="28"/>
        <v>Saturday</v>
      </c>
      <c r="N600" t="str">
        <f t="shared" si="29"/>
        <v>Medium</v>
      </c>
    </row>
    <row r="601" spans="1:14" x14ac:dyDescent="0.35">
      <c r="A601">
        <v>1486231827</v>
      </c>
      <c r="B601" s="1">
        <v>42770</v>
      </c>
      <c r="C601" t="s">
        <v>11</v>
      </c>
      <c r="D601" t="s">
        <v>87</v>
      </c>
      <c r="E601" t="s">
        <v>89</v>
      </c>
      <c r="F601" t="s">
        <v>12</v>
      </c>
      <c r="G601" t="s">
        <v>91</v>
      </c>
      <c r="H601" s="2">
        <v>31</v>
      </c>
      <c r="I601" s="2">
        <v>1</v>
      </c>
      <c r="J601" s="3">
        <v>44.98</v>
      </c>
      <c r="K601" t="s">
        <v>13</v>
      </c>
      <c r="L601" s="3">
        <f t="shared" si="27"/>
        <v>1.4509677419354838</v>
      </c>
      <c r="M601" t="str">
        <f t="shared" si="28"/>
        <v>Saturday</v>
      </c>
      <c r="N601" t="str">
        <f t="shared" si="29"/>
        <v>Medium</v>
      </c>
    </row>
    <row r="602" spans="1:14" x14ac:dyDescent="0.35">
      <c r="A602">
        <v>1500679118</v>
      </c>
      <c r="B602" s="1">
        <v>42937</v>
      </c>
      <c r="C602" t="s">
        <v>11</v>
      </c>
      <c r="D602" t="s">
        <v>87</v>
      </c>
      <c r="E602" t="s">
        <v>89</v>
      </c>
      <c r="F602" t="s">
        <v>12</v>
      </c>
      <c r="G602" t="s">
        <v>90</v>
      </c>
      <c r="H602" s="2">
        <v>31</v>
      </c>
      <c r="I602" s="2">
        <v>1</v>
      </c>
      <c r="J602" s="3">
        <v>45.43</v>
      </c>
      <c r="K602" t="s">
        <v>13</v>
      </c>
      <c r="L602" s="3">
        <f t="shared" si="27"/>
        <v>1.465483870967742</v>
      </c>
      <c r="M602" t="str">
        <f t="shared" si="28"/>
        <v>Friday</v>
      </c>
      <c r="N602" t="str">
        <f t="shared" si="29"/>
        <v>Medium</v>
      </c>
    </row>
    <row r="603" spans="1:14" x14ac:dyDescent="0.35">
      <c r="A603">
        <v>1472249153</v>
      </c>
      <c r="B603" s="1">
        <v>42608</v>
      </c>
      <c r="C603" t="s">
        <v>11</v>
      </c>
      <c r="D603" t="s">
        <v>87</v>
      </c>
      <c r="E603" t="s">
        <v>89</v>
      </c>
      <c r="F603" t="s">
        <v>12</v>
      </c>
      <c r="G603" t="s">
        <v>90</v>
      </c>
      <c r="H603" s="2">
        <v>31</v>
      </c>
      <c r="I603" s="2">
        <v>1</v>
      </c>
      <c r="J603" s="3">
        <v>45.85</v>
      </c>
      <c r="K603" t="s">
        <v>13</v>
      </c>
      <c r="L603" s="3">
        <f t="shared" si="27"/>
        <v>1.4790322580645161</v>
      </c>
      <c r="M603" t="str">
        <f t="shared" si="28"/>
        <v>Friday</v>
      </c>
      <c r="N603" t="str">
        <f t="shared" si="29"/>
        <v>Medium</v>
      </c>
    </row>
    <row r="604" spans="1:14" x14ac:dyDescent="0.35">
      <c r="A604">
        <v>1499201411</v>
      </c>
      <c r="B604" s="1">
        <v>42920</v>
      </c>
      <c r="C604" t="s">
        <v>11</v>
      </c>
      <c r="D604" t="s">
        <v>14</v>
      </c>
      <c r="E604" t="s">
        <v>89</v>
      </c>
      <c r="F604" t="s">
        <v>12</v>
      </c>
      <c r="G604" t="s">
        <v>90</v>
      </c>
      <c r="H604" s="2">
        <v>41</v>
      </c>
      <c r="I604" s="2">
        <v>1</v>
      </c>
      <c r="J604" s="3">
        <v>45.96</v>
      </c>
      <c r="K604" t="s">
        <v>13</v>
      </c>
      <c r="L604" s="3">
        <f t="shared" si="27"/>
        <v>1.1209756097560977</v>
      </c>
      <c r="M604" t="str">
        <f t="shared" si="28"/>
        <v>Tuesday</v>
      </c>
      <c r="N604" t="str">
        <f t="shared" si="29"/>
        <v>Medium</v>
      </c>
    </row>
    <row r="605" spans="1:14" x14ac:dyDescent="0.35">
      <c r="A605">
        <v>1487247308</v>
      </c>
      <c r="B605" s="1">
        <v>42782</v>
      </c>
      <c r="C605" t="s">
        <v>11</v>
      </c>
      <c r="D605" t="s">
        <v>87</v>
      </c>
      <c r="E605" t="s">
        <v>89</v>
      </c>
      <c r="F605" t="s">
        <v>16</v>
      </c>
      <c r="G605" t="s">
        <v>91</v>
      </c>
      <c r="H605" s="2">
        <v>42</v>
      </c>
      <c r="I605" s="2">
        <v>1</v>
      </c>
      <c r="J605" s="3">
        <v>45.97</v>
      </c>
      <c r="K605" t="s">
        <v>13</v>
      </c>
      <c r="L605" s="3">
        <f t="shared" si="27"/>
        <v>1.0945238095238095</v>
      </c>
      <c r="M605" t="str">
        <f t="shared" si="28"/>
        <v>Thursday</v>
      </c>
      <c r="N605" t="str">
        <f t="shared" si="29"/>
        <v>Medium</v>
      </c>
    </row>
    <row r="606" spans="1:14" x14ac:dyDescent="0.35">
      <c r="A606">
        <v>1488736725</v>
      </c>
      <c r="B606" s="1">
        <v>42799</v>
      </c>
      <c r="C606" t="s">
        <v>11</v>
      </c>
      <c r="D606" t="s">
        <v>87</v>
      </c>
      <c r="E606" t="s">
        <v>89</v>
      </c>
      <c r="F606" t="s">
        <v>12</v>
      </c>
      <c r="G606" t="s">
        <v>90</v>
      </c>
      <c r="H606" s="2">
        <v>47</v>
      </c>
      <c r="I606" s="2">
        <v>1</v>
      </c>
      <c r="J606" s="3">
        <v>45.98</v>
      </c>
      <c r="K606" t="s">
        <v>13</v>
      </c>
      <c r="L606" s="3">
        <f t="shared" si="27"/>
        <v>0.97829787234042542</v>
      </c>
      <c r="M606" t="str">
        <f t="shared" si="28"/>
        <v>Sunday</v>
      </c>
      <c r="N606" t="str">
        <f t="shared" si="29"/>
        <v>Medium</v>
      </c>
    </row>
    <row r="607" spans="1:14" x14ac:dyDescent="0.35">
      <c r="A607">
        <v>1471113712</v>
      </c>
      <c r="B607" s="1">
        <v>42595</v>
      </c>
      <c r="C607" t="s">
        <v>11</v>
      </c>
      <c r="D607" t="s">
        <v>87</v>
      </c>
      <c r="E607" t="s">
        <v>89</v>
      </c>
      <c r="F607" t="s">
        <v>16</v>
      </c>
      <c r="G607" t="s">
        <v>91</v>
      </c>
      <c r="H607" s="2">
        <v>15</v>
      </c>
      <c r="I607" s="2">
        <v>1</v>
      </c>
      <c r="J607" s="3">
        <v>46.08</v>
      </c>
      <c r="K607" t="s">
        <v>13</v>
      </c>
      <c r="L607" s="3">
        <f t="shared" si="27"/>
        <v>3.0720000000000001</v>
      </c>
      <c r="M607" t="str">
        <f t="shared" si="28"/>
        <v>Saturday</v>
      </c>
      <c r="N607" t="str">
        <f t="shared" si="29"/>
        <v>Medium</v>
      </c>
    </row>
    <row r="608" spans="1:14" x14ac:dyDescent="0.35">
      <c r="A608">
        <v>1487249221</v>
      </c>
      <c r="B608" s="1">
        <v>42782</v>
      </c>
      <c r="C608" t="s">
        <v>11</v>
      </c>
      <c r="D608" t="s">
        <v>28</v>
      </c>
      <c r="E608" t="s">
        <v>89</v>
      </c>
      <c r="F608" t="s">
        <v>12</v>
      </c>
      <c r="G608" t="s">
        <v>90</v>
      </c>
      <c r="H608" s="2">
        <v>20</v>
      </c>
      <c r="I608" s="2">
        <v>1</v>
      </c>
      <c r="J608" s="3">
        <v>46.48</v>
      </c>
      <c r="K608" t="s">
        <v>13</v>
      </c>
      <c r="L608" s="3">
        <f t="shared" si="27"/>
        <v>2.3239999999999998</v>
      </c>
      <c r="M608" t="str">
        <f t="shared" si="28"/>
        <v>Thursday</v>
      </c>
      <c r="N608" t="str">
        <f t="shared" si="29"/>
        <v>Medium</v>
      </c>
    </row>
    <row r="609" spans="1:14" x14ac:dyDescent="0.35">
      <c r="A609">
        <v>1471311526</v>
      </c>
      <c r="B609" s="1">
        <v>42597</v>
      </c>
      <c r="C609" t="s">
        <v>11</v>
      </c>
      <c r="D609" t="s">
        <v>87</v>
      </c>
      <c r="E609" t="s">
        <v>89</v>
      </c>
      <c r="F609" t="s">
        <v>16</v>
      </c>
      <c r="G609" t="s">
        <v>91</v>
      </c>
      <c r="H609" s="2">
        <v>30</v>
      </c>
      <c r="I609" s="2">
        <v>1</v>
      </c>
      <c r="J609" s="3">
        <v>46.49</v>
      </c>
      <c r="K609" t="s">
        <v>13</v>
      </c>
      <c r="L609" s="3">
        <f t="shared" si="27"/>
        <v>1.5496666666666667</v>
      </c>
      <c r="M609" t="str">
        <f t="shared" si="28"/>
        <v>Monday</v>
      </c>
      <c r="N609" t="str">
        <f t="shared" si="29"/>
        <v>Medium</v>
      </c>
    </row>
    <row r="610" spans="1:14" x14ac:dyDescent="0.35">
      <c r="A610">
        <v>1484710181</v>
      </c>
      <c r="B610" s="1">
        <v>42752</v>
      </c>
      <c r="C610" t="s">
        <v>11</v>
      </c>
      <c r="D610" t="s">
        <v>87</v>
      </c>
      <c r="E610" t="s">
        <v>89</v>
      </c>
      <c r="F610" t="s">
        <v>12</v>
      </c>
      <c r="G610" t="s">
        <v>91</v>
      </c>
      <c r="H610" s="2">
        <v>25</v>
      </c>
      <c r="I610" s="2">
        <v>1</v>
      </c>
      <c r="J610" s="3">
        <v>46.95</v>
      </c>
      <c r="K610" t="s">
        <v>13</v>
      </c>
      <c r="L610" s="3">
        <f t="shared" si="27"/>
        <v>1.8780000000000001</v>
      </c>
      <c r="M610" t="str">
        <f t="shared" si="28"/>
        <v>Tuesday</v>
      </c>
      <c r="N610" t="str">
        <f t="shared" si="29"/>
        <v>Medium</v>
      </c>
    </row>
    <row r="611" spans="1:14" x14ac:dyDescent="0.35">
      <c r="A611">
        <v>1495224769</v>
      </c>
      <c r="B611" s="1">
        <v>42874</v>
      </c>
      <c r="C611" t="s">
        <v>11</v>
      </c>
      <c r="D611" t="s">
        <v>87</v>
      </c>
      <c r="E611" t="s">
        <v>89</v>
      </c>
      <c r="F611" t="s">
        <v>16</v>
      </c>
      <c r="G611" t="s">
        <v>90</v>
      </c>
      <c r="H611" s="2">
        <v>28</v>
      </c>
      <c r="I611" s="2">
        <v>1</v>
      </c>
      <c r="J611" s="3">
        <v>47.27</v>
      </c>
      <c r="K611" t="s">
        <v>13</v>
      </c>
      <c r="L611" s="3">
        <f t="shared" si="27"/>
        <v>1.6882142857142859</v>
      </c>
      <c r="M611" t="str">
        <f t="shared" si="28"/>
        <v>Friday</v>
      </c>
      <c r="N611" t="str">
        <f t="shared" si="29"/>
        <v>Medium</v>
      </c>
    </row>
    <row r="612" spans="1:14" x14ac:dyDescent="0.35">
      <c r="A612">
        <v>1501258399</v>
      </c>
      <c r="B612" s="1">
        <v>42944</v>
      </c>
      <c r="C612" t="s">
        <v>11</v>
      </c>
      <c r="D612" t="s">
        <v>87</v>
      </c>
      <c r="E612" t="s">
        <v>89</v>
      </c>
      <c r="F612" t="s">
        <v>12</v>
      </c>
      <c r="G612" t="s">
        <v>90</v>
      </c>
      <c r="H612" s="2">
        <v>39</v>
      </c>
      <c r="I612" s="2">
        <v>1</v>
      </c>
      <c r="J612" s="3">
        <v>47.27</v>
      </c>
      <c r="K612" t="s">
        <v>13</v>
      </c>
      <c r="L612" s="3">
        <f t="shared" si="27"/>
        <v>1.2120512820512821</v>
      </c>
      <c r="M612" t="str">
        <f t="shared" si="28"/>
        <v>Friday</v>
      </c>
      <c r="N612" t="str">
        <f t="shared" si="29"/>
        <v>Medium</v>
      </c>
    </row>
    <row r="613" spans="1:14" x14ac:dyDescent="0.35">
      <c r="A613">
        <v>1480396009</v>
      </c>
      <c r="B613" s="1">
        <v>42702</v>
      </c>
      <c r="C613" t="s">
        <v>11</v>
      </c>
      <c r="D613" t="s">
        <v>27</v>
      </c>
      <c r="E613" t="s">
        <v>89</v>
      </c>
      <c r="F613" t="s">
        <v>39</v>
      </c>
      <c r="G613" t="s">
        <v>91</v>
      </c>
      <c r="H613" s="2">
        <v>20</v>
      </c>
      <c r="I613" s="2">
        <v>1</v>
      </c>
      <c r="J613" s="3">
        <v>48.97</v>
      </c>
      <c r="K613" t="s">
        <v>13</v>
      </c>
      <c r="L613" s="3">
        <f t="shared" si="27"/>
        <v>2.4485000000000001</v>
      </c>
      <c r="M613" t="str">
        <f t="shared" si="28"/>
        <v>Monday</v>
      </c>
      <c r="N613" t="str">
        <f t="shared" si="29"/>
        <v>Medium</v>
      </c>
    </row>
    <row r="614" spans="1:14" x14ac:dyDescent="0.35">
      <c r="A614">
        <v>1477939415</v>
      </c>
      <c r="B614" s="1">
        <v>42674</v>
      </c>
      <c r="C614" t="s">
        <v>11</v>
      </c>
      <c r="D614" t="s">
        <v>31</v>
      </c>
      <c r="E614" t="s">
        <v>89</v>
      </c>
      <c r="F614" t="s">
        <v>12</v>
      </c>
      <c r="G614" t="s">
        <v>90</v>
      </c>
      <c r="H614" s="2">
        <v>23</v>
      </c>
      <c r="I614" s="2">
        <v>1</v>
      </c>
      <c r="J614" s="3">
        <v>49.98</v>
      </c>
      <c r="K614" t="s">
        <v>13</v>
      </c>
      <c r="L614" s="3">
        <f t="shared" si="27"/>
        <v>2.1730434782608694</v>
      </c>
      <c r="M614" t="str">
        <f t="shared" si="28"/>
        <v>Monday</v>
      </c>
      <c r="N614" t="str">
        <f t="shared" si="29"/>
        <v>Medium</v>
      </c>
    </row>
    <row r="615" spans="1:14" x14ac:dyDescent="0.35">
      <c r="A615">
        <v>1499304489</v>
      </c>
      <c r="B615" s="1">
        <v>42921</v>
      </c>
      <c r="C615" t="s">
        <v>40</v>
      </c>
      <c r="D615" t="s">
        <v>47</v>
      </c>
      <c r="E615" t="s">
        <v>89</v>
      </c>
      <c r="F615" t="s">
        <v>16</v>
      </c>
      <c r="G615" t="s">
        <v>91</v>
      </c>
      <c r="H615" s="2">
        <v>12</v>
      </c>
      <c r="I615" s="2">
        <v>1</v>
      </c>
      <c r="J615" s="3">
        <v>49.98</v>
      </c>
      <c r="K615" t="s">
        <v>13</v>
      </c>
      <c r="L615" s="3">
        <f t="shared" si="27"/>
        <v>4.165</v>
      </c>
      <c r="M615" t="str">
        <f t="shared" si="28"/>
        <v>Wednesday</v>
      </c>
      <c r="N615" t="str">
        <f t="shared" si="29"/>
        <v>Medium</v>
      </c>
    </row>
    <row r="616" spans="1:14" x14ac:dyDescent="0.35">
      <c r="A616">
        <v>1488494826</v>
      </c>
      <c r="B616" s="1">
        <v>42796</v>
      </c>
      <c r="C616" t="s">
        <v>11</v>
      </c>
      <c r="D616" t="s">
        <v>15</v>
      </c>
      <c r="E616" t="s">
        <v>89</v>
      </c>
      <c r="F616" t="s">
        <v>12</v>
      </c>
      <c r="G616" t="s">
        <v>90</v>
      </c>
      <c r="H616" s="2">
        <v>21</v>
      </c>
      <c r="I616" s="2">
        <v>2</v>
      </c>
      <c r="J616" s="3">
        <v>49.99</v>
      </c>
      <c r="K616" t="s">
        <v>13</v>
      </c>
      <c r="L616" s="3">
        <f t="shared" si="27"/>
        <v>2.3804761904761906</v>
      </c>
      <c r="M616" t="str">
        <f t="shared" si="28"/>
        <v>Thursday</v>
      </c>
      <c r="N616" t="str">
        <f t="shared" si="29"/>
        <v>Medium</v>
      </c>
    </row>
    <row r="617" spans="1:14" x14ac:dyDescent="0.35">
      <c r="A617">
        <v>1483154347</v>
      </c>
      <c r="B617" s="1">
        <v>42734</v>
      </c>
      <c r="C617" t="s">
        <v>11</v>
      </c>
      <c r="D617" t="s">
        <v>15</v>
      </c>
      <c r="E617" t="s">
        <v>89</v>
      </c>
      <c r="F617" t="s">
        <v>12</v>
      </c>
      <c r="G617" t="s">
        <v>91</v>
      </c>
      <c r="H617" s="2">
        <v>26</v>
      </c>
      <c r="I617" s="2">
        <v>1</v>
      </c>
      <c r="J617" s="3">
        <v>50</v>
      </c>
      <c r="K617" t="s">
        <v>13</v>
      </c>
      <c r="L617" s="3">
        <f t="shared" si="27"/>
        <v>1.9230769230769231</v>
      </c>
      <c r="M617" t="str">
        <f t="shared" si="28"/>
        <v>Friday</v>
      </c>
      <c r="N617" t="str">
        <f t="shared" si="29"/>
        <v>Medium</v>
      </c>
    </row>
    <row r="618" spans="1:14" x14ac:dyDescent="0.35">
      <c r="A618">
        <v>1475799987</v>
      </c>
      <c r="B618" s="1">
        <v>42649</v>
      </c>
      <c r="C618" t="s">
        <v>11</v>
      </c>
      <c r="D618" t="s">
        <v>23</v>
      </c>
      <c r="E618" t="s">
        <v>89</v>
      </c>
      <c r="F618" t="s">
        <v>12</v>
      </c>
      <c r="G618" t="s">
        <v>91</v>
      </c>
      <c r="H618" s="2">
        <v>47</v>
      </c>
      <c r="I618" s="2">
        <v>1</v>
      </c>
      <c r="J618" s="3">
        <v>50.46</v>
      </c>
      <c r="K618" t="s">
        <v>13</v>
      </c>
      <c r="L618" s="3">
        <f t="shared" si="27"/>
        <v>1.0736170212765959</v>
      </c>
      <c r="M618" t="str">
        <f t="shared" si="28"/>
        <v>Thursday</v>
      </c>
      <c r="N618" t="str">
        <f t="shared" si="29"/>
        <v>Medium</v>
      </c>
    </row>
    <row r="619" spans="1:14" x14ac:dyDescent="0.35">
      <c r="A619">
        <v>1487555854</v>
      </c>
      <c r="B619" s="1">
        <v>42785</v>
      </c>
      <c r="C619" t="s">
        <v>78</v>
      </c>
      <c r="D619" t="s">
        <v>87</v>
      </c>
      <c r="E619" t="s">
        <v>89</v>
      </c>
      <c r="F619" t="s">
        <v>16</v>
      </c>
      <c r="G619" t="s">
        <v>90</v>
      </c>
      <c r="H619" s="2">
        <v>39</v>
      </c>
      <c r="I619" s="2">
        <v>1</v>
      </c>
      <c r="J619" s="3">
        <v>50.96</v>
      </c>
      <c r="K619" t="s">
        <v>13</v>
      </c>
      <c r="L619" s="3">
        <f t="shared" si="27"/>
        <v>1.3066666666666666</v>
      </c>
      <c r="M619" t="str">
        <f t="shared" si="28"/>
        <v>Sunday</v>
      </c>
      <c r="N619" t="str">
        <f t="shared" si="29"/>
        <v>Medium</v>
      </c>
    </row>
    <row r="620" spans="1:14" x14ac:dyDescent="0.35">
      <c r="A620">
        <v>1478311915</v>
      </c>
      <c r="B620" s="1">
        <v>42678</v>
      </c>
      <c r="C620" t="s">
        <v>11</v>
      </c>
      <c r="D620" t="s">
        <v>87</v>
      </c>
      <c r="E620" t="s">
        <v>89</v>
      </c>
      <c r="F620" t="s">
        <v>12</v>
      </c>
      <c r="G620" t="s">
        <v>91</v>
      </c>
      <c r="H620" s="2">
        <v>18</v>
      </c>
      <c r="I620" s="2">
        <v>1</v>
      </c>
      <c r="J620" s="3">
        <v>50.97</v>
      </c>
      <c r="K620" t="s">
        <v>13</v>
      </c>
      <c r="L620" s="3">
        <f t="shared" si="27"/>
        <v>2.8316666666666666</v>
      </c>
      <c r="M620" t="str">
        <f t="shared" si="28"/>
        <v>Friday</v>
      </c>
      <c r="N620" t="str">
        <f t="shared" si="29"/>
        <v>Medium</v>
      </c>
    </row>
    <row r="621" spans="1:14" x14ac:dyDescent="0.35">
      <c r="A621">
        <v>1480379044</v>
      </c>
      <c r="B621" s="1">
        <v>42702</v>
      </c>
      <c r="C621" t="s">
        <v>11</v>
      </c>
      <c r="D621" t="s">
        <v>87</v>
      </c>
      <c r="E621" t="s">
        <v>89</v>
      </c>
      <c r="F621" t="s">
        <v>12</v>
      </c>
      <c r="G621" t="s">
        <v>91</v>
      </c>
      <c r="H621" s="2">
        <v>10</v>
      </c>
      <c r="I621" s="2">
        <v>1</v>
      </c>
      <c r="J621" s="3">
        <v>51.99</v>
      </c>
      <c r="K621" t="s">
        <v>13</v>
      </c>
      <c r="L621" s="3">
        <f t="shared" si="27"/>
        <v>5.1989999999999998</v>
      </c>
      <c r="M621" t="str">
        <f t="shared" si="28"/>
        <v>Monday</v>
      </c>
      <c r="N621" t="str">
        <f t="shared" si="29"/>
        <v>Medium</v>
      </c>
    </row>
    <row r="622" spans="1:14" x14ac:dyDescent="0.35">
      <c r="A622">
        <v>1480585718</v>
      </c>
      <c r="B622" s="1">
        <v>42705</v>
      </c>
      <c r="C622" t="s">
        <v>11</v>
      </c>
      <c r="D622" t="s">
        <v>14</v>
      </c>
      <c r="E622" t="s">
        <v>89</v>
      </c>
      <c r="F622" t="s">
        <v>12</v>
      </c>
      <c r="G622" t="s">
        <v>91</v>
      </c>
      <c r="H622" s="2">
        <v>37</v>
      </c>
      <c r="I622" s="2">
        <v>1</v>
      </c>
      <c r="J622" s="3">
        <v>51.99</v>
      </c>
      <c r="K622" t="s">
        <v>13</v>
      </c>
      <c r="L622" s="3">
        <f t="shared" si="27"/>
        <v>1.4051351351351351</v>
      </c>
      <c r="M622" t="str">
        <f t="shared" si="28"/>
        <v>Thursday</v>
      </c>
      <c r="N622" t="str">
        <f t="shared" si="29"/>
        <v>Medium</v>
      </c>
    </row>
    <row r="623" spans="1:14" x14ac:dyDescent="0.35">
      <c r="A623">
        <v>1476358376</v>
      </c>
      <c r="B623" s="1">
        <v>42656</v>
      </c>
      <c r="C623" t="s">
        <v>11</v>
      </c>
      <c r="D623" t="s">
        <v>87</v>
      </c>
      <c r="E623" t="s">
        <v>89</v>
      </c>
      <c r="F623" t="s">
        <v>16</v>
      </c>
      <c r="G623" t="s">
        <v>90</v>
      </c>
      <c r="H623" s="2">
        <v>26</v>
      </c>
      <c r="I623" s="2">
        <v>1</v>
      </c>
      <c r="J623" s="3">
        <v>52.96</v>
      </c>
      <c r="K623" t="s">
        <v>13</v>
      </c>
      <c r="L623" s="3">
        <f t="shared" si="27"/>
        <v>2.0369230769230771</v>
      </c>
      <c r="M623" t="str">
        <f t="shared" si="28"/>
        <v>Thursday</v>
      </c>
      <c r="N623" t="str">
        <f t="shared" si="29"/>
        <v>Medium</v>
      </c>
    </row>
    <row r="624" spans="1:14" x14ac:dyDescent="0.35">
      <c r="A624">
        <v>1485128773</v>
      </c>
      <c r="B624" s="1">
        <v>42757</v>
      </c>
      <c r="C624" t="s">
        <v>11</v>
      </c>
      <c r="D624" t="s">
        <v>15</v>
      </c>
      <c r="E624" t="s">
        <v>89</v>
      </c>
      <c r="F624" t="s">
        <v>12</v>
      </c>
      <c r="G624" t="s">
        <v>91</v>
      </c>
      <c r="H624" s="2">
        <v>29</v>
      </c>
      <c r="I624" s="2">
        <v>1</v>
      </c>
      <c r="J624" s="3">
        <v>52.97</v>
      </c>
      <c r="K624" t="s">
        <v>13</v>
      </c>
      <c r="L624" s="3">
        <f t="shared" si="27"/>
        <v>1.826551724137931</v>
      </c>
      <c r="M624" t="str">
        <f t="shared" si="28"/>
        <v>Sunday</v>
      </c>
      <c r="N624" t="str">
        <f t="shared" si="29"/>
        <v>Medium</v>
      </c>
    </row>
    <row r="625" spans="1:14" x14ac:dyDescent="0.35">
      <c r="A625">
        <v>1495863604</v>
      </c>
      <c r="B625" s="1">
        <v>42881</v>
      </c>
      <c r="C625" t="s">
        <v>11</v>
      </c>
      <c r="D625" t="s">
        <v>87</v>
      </c>
      <c r="E625" t="s">
        <v>89</v>
      </c>
      <c r="F625" t="s">
        <v>16</v>
      </c>
      <c r="G625" t="s">
        <v>91</v>
      </c>
      <c r="H625" s="2">
        <v>42</v>
      </c>
      <c r="I625" s="2">
        <v>1</v>
      </c>
      <c r="J625" s="3">
        <v>53.45</v>
      </c>
      <c r="K625" t="s">
        <v>13</v>
      </c>
      <c r="L625" s="3">
        <f t="shared" si="27"/>
        <v>1.2726190476190478</v>
      </c>
      <c r="M625" t="str">
        <f t="shared" si="28"/>
        <v>Friday</v>
      </c>
      <c r="N625" t="str">
        <f t="shared" si="29"/>
        <v>Medium</v>
      </c>
    </row>
    <row r="626" spans="1:14" x14ac:dyDescent="0.35">
      <c r="A626">
        <v>1487773059</v>
      </c>
      <c r="B626" s="1">
        <v>42788</v>
      </c>
      <c r="C626" t="s">
        <v>11</v>
      </c>
      <c r="D626" t="s">
        <v>25</v>
      </c>
      <c r="E626" t="s">
        <v>89</v>
      </c>
      <c r="F626" t="s">
        <v>12</v>
      </c>
      <c r="G626" t="s">
        <v>90</v>
      </c>
      <c r="H626" s="2">
        <v>25</v>
      </c>
      <c r="I626" s="2">
        <v>1</v>
      </c>
      <c r="J626" s="3">
        <v>53.96</v>
      </c>
      <c r="K626" t="s">
        <v>13</v>
      </c>
      <c r="L626" s="3">
        <f t="shared" si="27"/>
        <v>2.1583999999999999</v>
      </c>
      <c r="M626" t="str">
        <f t="shared" si="28"/>
        <v>Wednesday</v>
      </c>
      <c r="N626" t="str">
        <f t="shared" si="29"/>
        <v>Medium</v>
      </c>
    </row>
    <row r="627" spans="1:14" x14ac:dyDescent="0.35">
      <c r="A627">
        <v>1472175114</v>
      </c>
      <c r="B627" s="1">
        <v>42607</v>
      </c>
      <c r="C627" t="s">
        <v>11</v>
      </c>
      <c r="D627" t="s">
        <v>87</v>
      </c>
      <c r="E627" t="s">
        <v>89</v>
      </c>
      <c r="F627" t="s">
        <v>16</v>
      </c>
      <c r="G627" t="s">
        <v>90</v>
      </c>
      <c r="H627" s="2">
        <v>41</v>
      </c>
      <c r="I627" s="2">
        <v>1</v>
      </c>
      <c r="J627" s="3">
        <v>54.17</v>
      </c>
      <c r="K627" t="s">
        <v>13</v>
      </c>
      <c r="L627" s="3">
        <f t="shared" si="27"/>
        <v>1.321219512195122</v>
      </c>
      <c r="M627" t="str">
        <f t="shared" si="28"/>
        <v>Thursday</v>
      </c>
      <c r="N627" t="str">
        <f t="shared" si="29"/>
        <v>Medium</v>
      </c>
    </row>
    <row r="628" spans="1:14" x14ac:dyDescent="0.35">
      <c r="A628">
        <v>1488612857</v>
      </c>
      <c r="B628" s="1">
        <v>42797</v>
      </c>
      <c r="C628" t="s">
        <v>11</v>
      </c>
      <c r="D628" t="s">
        <v>87</v>
      </c>
      <c r="E628" t="s">
        <v>89</v>
      </c>
      <c r="F628" t="s">
        <v>16</v>
      </c>
      <c r="G628" t="s">
        <v>91</v>
      </c>
      <c r="H628" s="2">
        <v>12</v>
      </c>
      <c r="I628" s="2">
        <v>1</v>
      </c>
      <c r="J628" s="3">
        <v>54.98</v>
      </c>
      <c r="K628" t="s">
        <v>13</v>
      </c>
      <c r="L628" s="3">
        <f t="shared" si="27"/>
        <v>4.5816666666666661</v>
      </c>
      <c r="M628" t="str">
        <f t="shared" si="28"/>
        <v>Friday</v>
      </c>
      <c r="N628" t="str">
        <f t="shared" si="29"/>
        <v>Medium</v>
      </c>
    </row>
    <row r="629" spans="1:14" x14ac:dyDescent="0.35">
      <c r="A629">
        <v>1480059717</v>
      </c>
      <c r="B629" s="1">
        <v>42698</v>
      </c>
      <c r="C629" t="s">
        <v>11</v>
      </c>
      <c r="D629" t="s">
        <v>87</v>
      </c>
      <c r="E629" t="s">
        <v>89</v>
      </c>
      <c r="F629" t="s">
        <v>16</v>
      </c>
      <c r="G629" t="s">
        <v>91</v>
      </c>
      <c r="H629" s="2">
        <v>21</v>
      </c>
      <c r="I629" s="2">
        <v>1</v>
      </c>
      <c r="J629" s="3">
        <v>55.99</v>
      </c>
      <c r="K629" t="s">
        <v>13</v>
      </c>
      <c r="L629" s="3">
        <f t="shared" si="27"/>
        <v>2.6661904761904762</v>
      </c>
      <c r="M629" t="str">
        <f t="shared" si="28"/>
        <v>Thursday</v>
      </c>
      <c r="N629" t="str">
        <f t="shared" si="29"/>
        <v>Medium</v>
      </c>
    </row>
    <row r="630" spans="1:14" x14ac:dyDescent="0.35">
      <c r="A630">
        <v>1478236842</v>
      </c>
      <c r="B630" s="1">
        <v>42677</v>
      </c>
      <c r="C630" t="s">
        <v>11</v>
      </c>
      <c r="D630" t="s">
        <v>87</v>
      </c>
      <c r="E630" t="s">
        <v>89</v>
      </c>
      <c r="F630" t="s">
        <v>12</v>
      </c>
      <c r="G630" t="s">
        <v>91</v>
      </c>
      <c r="H630" s="2">
        <v>16</v>
      </c>
      <c r="I630" s="2">
        <v>1</v>
      </c>
      <c r="J630" s="3">
        <v>55.99</v>
      </c>
      <c r="K630" t="s">
        <v>13</v>
      </c>
      <c r="L630" s="3">
        <f t="shared" si="27"/>
        <v>3.4993750000000001</v>
      </c>
      <c r="M630" t="str">
        <f t="shared" si="28"/>
        <v>Thursday</v>
      </c>
      <c r="N630" t="str">
        <f t="shared" si="29"/>
        <v>Medium</v>
      </c>
    </row>
    <row r="631" spans="1:14" x14ac:dyDescent="0.35">
      <c r="A631">
        <v>1481238996</v>
      </c>
      <c r="B631" s="1">
        <v>42712</v>
      </c>
      <c r="C631" t="s">
        <v>11</v>
      </c>
      <c r="D631" t="s">
        <v>87</v>
      </c>
      <c r="E631" t="s">
        <v>89</v>
      </c>
      <c r="F631" t="s">
        <v>16</v>
      </c>
      <c r="G631" t="s">
        <v>91</v>
      </c>
      <c r="H631" s="2">
        <v>12</v>
      </c>
      <c r="I631" s="2">
        <v>1</v>
      </c>
      <c r="J631" s="3">
        <v>55.99</v>
      </c>
      <c r="K631" t="s">
        <v>13</v>
      </c>
      <c r="L631" s="3">
        <f t="shared" si="27"/>
        <v>4.6658333333333335</v>
      </c>
      <c r="M631" t="str">
        <f t="shared" si="28"/>
        <v>Thursday</v>
      </c>
      <c r="N631" t="str">
        <f t="shared" si="29"/>
        <v>Medium</v>
      </c>
    </row>
    <row r="632" spans="1:14" x14ac:dyDescent="0.35">
      <c r="A632">
        <v>1482634609</v>
      </c>
      <c r="B632" s="1">
        <v>42728</v>
      </c>
      <c r="C632" t="s">
        <v>11</v>
      </c>
      <c r="D632" t="s">
        <v>87</v>
      </c>
      <c r="E632" t="s">
        <v>89</v>
      </c>
      <c r="F632" t="s">
        <v>12</v>
      </c>
      <c r="G632" t="s">
        <v>90</v>
      </c>
      <c r="H632" s="2">
        <v>22</v>
      </c>
      <c r="I632" s="2">
        <v>1</v>
      </c>
      <c r="J632" s="3">
        <v>55.99</v>
      </c>
      <c r="K632" t="s">
        <v>13</v>
      </c>
      <c r="L632" s="3">
        <f t="shared" si="27"/>
        <v>2.5449999999999999</v>
      </c>
      <c r="M632" t="str">
        <f t="shared" si="28"/>
        <v>Saturday</v>
      </c>
      <c r="N632" t="str">
        <f t="shared" si="29"/>
        <v>Medium</v>
      </c>
    </row>
    <row r="633" spans="1:14" x14ac:dyDescent="0.35">
      <c r="A633">
        <v>1480196222</v>
      </c>
      <c r="B633" s="1">
        <v>42700</v>
      </c>
      <c r="C633" t="s">
        <v>11</v>
      </c>
      <c r="D633" t="s">
        <v>25</v>
      </c>
      <c r="E633" t="s">
        <v>89</v>
      </c>
      <c r="F633" t="s">
        <v>12</v>
      </c>
      <c r="G633" t="s">
        <v>91</v>
      </c>
      <c r="H633" s="2">
        <v>21</v>
      </c>
      <c r="I633" s="2">
        <v>1</v>
      </c>
      <c r="J633" s="3">
        <v>55.99</v>
      </c>
      <c r="K633" t="s">
        <v>13</v>
      </c>
      <c r="L633" s="3">
        <f t="shared" si="27"/>
        <v>2.6661904761904762</v>
      </c>
      <c r="M633" t="str">
        <f t="shared" si="28"/>
        <v>Saturday</v>
      </c>
      <c r="N633" t="str">
        <f t="shared" si="29"/>
        <v>Medium</v>
      </c>
    </row>
    <row r="634" spans="1:14" x14ac:dyDescent="0.35">
      <c r="A634">
        <v>1485903800</v>
      </c>
      <c r="B634" s="1">
        <v>42766</v>
      </c>
      <c r="C634" t="s">
        <v>79</v>
      </c>
      <c r="D634" t="s">
        <v>87</v>
      </c>
      <c r="E634" t="s">
        <v>89</v>
      </c>
      <c r="F634" t="s">
        <v>16</v>
      </c>
      <c r="G634" t="s">
        <v>91</v>
      </c>
      <c r="H634" s="2">
        <v>14</v>
      </c>
      <c r="I634" s="2">
        <v>1</v>
      </c>
      <c r="J634" s="3">
        <v>55.99</v>
      </c>
      <c r="K634" t="s">
        <v>13</v>
      </c>
      <c r="L634" s="3">
        <f t="shared" si="27"/>
        <v>3.9992857142857146</v>
      </c>
      <c r="M634" t="str">
        <f t="shared" si="28"/>
        <v>Tuesday</v>
      </c>
      <c r="N634" t="str">
        <f t="shared" si="29"/>
        <v>Medium</v>
      </c>
    </row>
    <row r="635" spans="1:14" x14ac:dyDescent="0.35">
      <c r="A635">
        <v>1477623161</v>
      </c>
      <c r="B635" s="1">
        <v>42670</v>
      </c>
      <c r="C635" t="s">
        <v>11</v>
      </c>
      <c r="D635" t="s">
        <v>87</v>
      </c>
      <c r="E635" t="s">
        <v>89</v>
      </c>
      <c r="F635" t="s">
        <v>16</v>
      </c>
      <c r="G635" t="s">
        <v>90</v>
      </c>
      <c r="H635" s="2">
        <v>26</v>
      </c>
      <c r="I635" s="2">
        <v>1</v>
      </c>
      <c r="J635" s="3">
        <v>55.99</v>
      </c>
      <c r="K635" t="s">
        <v>13</v>
      </c>
      <c r="L635" s="3">
        <f t="shared" si="27"/>
        <v>2.1534615384615385</v>
      </c>
      <c r="M635" t="str">
        <f t="shared" si="28"/>
        <v>Thursday</v>
      </c>
      <c r="N635" t="str">
        <f t="shared" si="29"/>
        <v>Medium</v>
      </c>
    </row>
    <row r="636" spans="1:14" x14ac:dyDescent="0.35">
      <c r="A636">
        <v>1481479149</v>
      </c>
      <c r="B636" s="1">
        <v>42715</v>
      </c>
      <c r="C636" t="s">
        <v>11</v>
      </c>
      <c r="D636" t="s">
        <v>14</v>
      </c>
      <c r="E636" t="s">
        <v>89</v>
      </c>
      <c r="F636" t="s">
        <v>16</v>
      </c>
      <c r="G636" t="s">
        <v>91</v>
      </c>
      <c r="H636" s="2">
        <v>13</v>
      </c>
      <c r="I636" s="2">
        <v>1</v>
      </c>
      <c r="J636" s="3">
        <v>55.99</v>
      </c>
      <c r="K636" t="s">
        <v>13</v>
      </c>
      <c r="L636" s="3">
        <f t="shared" si="27"/>
        <v>4.3069230769230771</v>
      </c>
      <c r="M636" t="str">
        <f t="shared" si="28"/>
        <v>Sunday</v>
      </c>
      <c r="N636" t="str">
        <f t="shared" si="29"/>
        <v>Medium</v>
      </c>
    </row>
    <row r="637" spans="1:14" x14ac:dyDescent="0.35">
      <c r="A637">
        <v>1475108536</v>
      </c>
      <c r="B637" s="1">
        <v>42641</v>
      </c>
      <c r="C637" t="s">
        <v>11</v>
      </c>
      <c r="D637" t="s">
        <v>87</v>
      </c>
      <c r="E637" t="s">
        <v>89</v>
      </c>
      <c r="F637" t="s">
        <v>16</v>
      </c>
      <c r="G637" t="s">
        <v>91</v>
      </c>
      <c r="H637" s="2">
        <v>10</v>
      </c>
      <c r="I637" s="2">
        <v>1</v>
      </c>
      <c r="J637" s="3">
        <v>55.99</v>
      </c>
      <c r="K637" t="s">
        <v>13</v>
      </c>
      <c r="L637" s="3">
        <f t="shared" si="27"/>
        <v>5.5990000000000002</v>
      </c>
      <c r="M637" t="str">
        <f t="shared" si="28"/>
        <v>Wednesday</v>
      </c>
      <c r="N637" t="str">
        <f t="shared" si="29"/>
        <v>Medium</v>
      </c>
    </row>
    <row r="638" spans="1:14" x14ac:dyDescent="0.35">
      <c r="A638">
        <v>1485278846</v>
      </c>
      <c r="B638" s="1">
        <v>42759</v>
      </c>
      <c r="C638" t="s">
        <v>11</v>
      </c>
      <c r="D638" t="s">
        <v>87</v>
      </c>
      <c r="E638" t="s">
        <v>89</v>
      </c>
      <c r="F638" t="s">
        <v>16</v>
      </c>
      <c r="G638" t="s">
        <v>91</v>
      </c>
      <c r="H638" s="2">
        <v>25</v>
      </c>
      <c r="I638" s="2">
        <v>1</v>
      </c>
      <c r="J638" s="3">
        <v>55.99</v>
      </c>
      <c r="K638" t="s">
        <v>13</v>
      </c>
      <c r="L638" s="3">
        <f t="shared" si="27"/>
        <v>2.2396000000000003</v>
      </c>
      <c r="M638" t="str">
        <f t="shared" si="28"/>
        <v>Tuesday</v>
      </c>
      <c r="N638" t="str">
        <f t="shared" si="29"/>
        <v>Medium</v>
      </c>
    </row>
    <row r="639" spans="1:14" x14ac:dyDescent="0.35">
      <c r="A639">
        <v>1486322641</v>
      </c>
      <c r="B639" s="1">
        <v>42771</v>
      </c>
      <c r="C639" t="s">
        <v>11</v>
      </c>
      <c r="D639" t="s">
        <v>28</v>
      </c>
      <c r="E639" t="s">
        <v>89</v>
      </c>
      <c r="F639" t="s">
        <v>12</v>
      </c>
      <c r="G639" t="s">
        <v>91</v>
      </c>
      <c r="H639" s="2">
        <v>15</v>
      </c>
      <c r="I639" s="2">
        <v>1</v>
      </c>
      <c r="J639" s="3">
        <v>55.99</v>
      </c>
      <c r="K639" t="s">
        <v>13</v>
      </c>
      <c r="L639" s="3">
        <f t="shared" si="27"/>
        <v>3.7326666666666668</v>
      </c>
      <c r="M639" t="str">
        <f t="shared" si="28"/>
        <v>Sunday</v>
      </c>
      <c r="N639" t="str">
        <f t="shared" si="29"/>
        <v>Medium</v>
      </c>
    </row>
    <row r="640" spans="1:14" x14ac:dyDescent="0.35">
      <c r="A640">
        <v>1488213318</v>
      </c>
      <c r="B640" s="1">
        <v>42793</v>
      </c>
      <c r="C640" t="s">
        <v>11</v>
      </c>
      <c r="D640" t="s">
        <v>58</v>
      </c>
      <c r="E640" t="s">
        <v>89</v>
      </c>
      <c r="F640" t="s">
        <v>12</v>
      </c>
      <c r="G640" t="s">
        <v>90</v>
      </c>
      <c r="H640" s="2">
        <v>19</v>
      </c>
      <c r="I640" s="2">
        <v>1</v>
      </c>
      <c r="J640" s="3">
        <v>55.99</v>
      </c>
      <c r="K640" t="s">
        <v>13</v>
      </c>
      <c r="L640" s="3">
        <f t="shared" si="27"/>
        <v>2.9468421052631579</v>
      </c>
      <c r="M640" t="str">
        <f t="shared" si="28"/>
        <v>Monday</v>
      </c>
      <c r="N640" t="str">
        <f t="shared" si="29"/>
        <v>Medium</v>
      </c>
    </row>
    <row r="641" spans="1:14" x14ac:dyDescent="0.35">
      <c r="A641">
        <v>1492709198</v>
      </c>
      <c r="B641" s="1">
        <v>42845</v>
      </c>
      <c r="C641" t="s">
        <v>11</v>
      </c>
      <c r="D641" t="s">
        <v>87</v>
      </c>
      <c r="E641" t="s">
        <v>89</v>
      </c>
      <c r="F641" t="s">
        <v>16</v>
      </c>
      <c r="G641" t="s">
        <v>90</v>
      </c>
      <c r="H641" s="2">
        <v>8</v>
      </c>
      <c r="I641" s="2">
        <v>1</v>
      </c>
      <c r="J641" s="3">
        <v>55.99</v>
      </c>
      <c r="K641" t="s">
        <v>13</v>
      </c>
      <c r="L641" s="3">
        <f t="shared" si="27"/>
        <v>6.9987500000000002</v>
      </c>
      <c r="M641" t="str">
        <f t="shared" si="28"/>
        <v>Thursday</v>
      </c>
      <c r="N641" t="str">
        <f t="shared" si="29"/>
        <v>Medium</v>
      </c>
    </row>
    <row r="642" spans="1:14" x14ac:dyDescent="0.35">
      <c r="A642">
        <v>1480884349</v>
      </c>
      <c r="B642" s="1">
        <v>42708</v>
      </c>
      <c r="C642" t="s">
        <v>11</v>
      </c>
      <c r="D642" t="s">
        <v>25</v>
      </c>
      <c r="E642" t="s">
        <v>89</v>
      </c>
      <c r="F642" t="s">
        <v>12</v>
      </c>
      <c r="G642" t="s">
        <v>91</v>
      </c>
      <c r="H642" s="2">
        <v>21</v>
      </c>
      <c r="I642" s="2">
        <v>1</v>
      </c>
      <c r="J642" s="3">
        <v>55.99</v>
      </c>
      <c r="K642" t="s">
        <v>13</v>
      </c>
      <c r="L642" s="3">
        <f t="shared" si="27"/>
        <v>2.6661904761904762</v>
      </c>
      <c r="M642" t="str">
        <f t="shared" si="28"/>
        <v>Sunday</v>
      </c>
      <c r="N642" t="str">
        <f t="shared" si="29"/>
        <v>Medium</v>
      </c>
    </row>
    <row r="643" spans="1:14" x14ac:dyDescent="0.35">
      <c r="A643">
        <v>1485710273</v>
      </c>
      <c r="B643" s="1">
        <v>42764</v>
      </c>
      <c r="C643" t="s">
        <v>11</v>
      </c>
      <c r="D643" t="s">
        <v>87</v>
      </c>
      <c r="E643" t="s">
        <v>89</v>
      </c>
      <c r="F643" t="s">
        <v>12</v>
      </c>
      <c r="G643" t="s">
        <v>91</v>
      </c>
      <c r="H643" s="2">
        <v>23</v>
      </c>
      <c r="I643" s="2">
        <v>1</v>
      </c>
      <c r="J643" s="3">
        <v>55.99</v>
      </c>
      <c r="K643" t="s">
        <v>13</v>
      </c>
      <c r="L643" s="3">
        <f t="shared" ref="L643:L706" si="30">J643/H643</f>
        <v>2.4343478260869564</v>
      </c>
      <c r="M643" t="str">
        <f t="shared" ref="M643:M706" si="31">TEXT(B643, "dddd")</f>
        <v>Sunday</v>
      </c>
      <c r="N643" t="str">
        <f t="shared" ref="N643:N706" si="32">IF(J643&gt;200,"High",IF(J643&gt;=20,"Medium","Low"))</f>
        <v>Medium</v>
      </c>
    </row>
    <row r="644" spans="1:14" x14ac:dyDescent="0.35">
      <c r="A644">
        <v>1486777519</v>
      </c>
      <c r="B644" s="1">
        <v>42776</v>
      </c>
      <c r="C644" t="s">
        <v>11</v>
      </c>
      <c r="D644" t="s">
        <v>15</v>
      </c>
      <c r="E644" t="s">
        <v>89</v>
      </c>
      <c r="F644" t="s">
        <v>16</v>
      </c>
      <c r="G644" t="s">
        <v>90</v>
      </c>
      <c r="H644" s="2">
        <v>15</v>
      </c>
      <c r="I644" s="2">
        <v>1</v>
      </c>
      <c r="J644" s="3">
        <v>55.99</v>
      </c>
      <c r="K644" t="s">
        <v>13</v>
      </c>
      <c r="L644" s="3">
        <f t="shared" si="30"/>
        <v>3.7326666666666668</v>
      </c>
      <c r="M644" t="str">
        <f t="shared" si="31"/>
        <v>Friday</v>
      </c>
      <c r="N644" t="str">
        <f t="shared" si="32"/>
        <v>Medium</v>
      </c>
    </row>
    <row r="645" spans="1:14" x14ac:dyDescent="0.35">
      <c r="A645">
        <v>1481126312</v>
      </c>
      <c r="B645" s="1">
        <v>42711</v>
      </c>
      <c r="C645" t="s">
        <v>11</v>
      </c>
      <c r="D645" t="s">
        <v>87</v>
      </c>
      <c r="E645" t="s">
        <v>89</v>
      </c>
      <c r="F645" t="s">
        <v>12</v>
      </c>
      <c r="G645" t="s">
        <v>91</v>
      </c>
      <c r="H645" s="2">
        <v>17</v>
      </c>
      <c r="I645" s="2">
        <v>1</v>
      </c>
      <c r="J645" s="3">
        <v>55.99</v>
      </c>
      <c r="K645" t="s">
        <v>13</v>
      </c>
      <c r="L645" s="3">
        <f t="shared" si="30"/>
        <v>3.2935294117647058</v>
      </c>
      <c r="M645" t="str">
        <f t="shared" si="31"/>
        <v>Wednesday</v>
      </c>
      <c r="N645" t="str">
        <f t="shared" si="32"/>
        <v>Medium</v>
      </c>
    </row>
    <row r="646" spans="1:14" x14ac:dyDescent="0.35">
      <c r="A646">
        <v>1481588301</v>
      </c>
      <c r="B646" s="1">
        <v>42716</v>
      </c>
      <c r="C646" t="s">
        <v>11</v>
      </c>
      <c r="D646" t="s">
        <v>87</v>
      </c>
      <c r="E646" t="s">
        <v>89</v>
      </c>
      <c r="F646" t="s">
        <v>16</v>
      </c>
      <c r="G646" t="s">
        <v>91</v>
      </c>
      <c r="H646" s="2">
        <v>15</v>
      </c>
      <c r="I646" s="2">
        <v>1</v>
      </c>
      <c r="J646" s="3">
        <v>55.99</v>
      </c>
      <c r="K646" t="s">
        <v>13</v>
      </c>
      <c r="L646" s="3">
        <f t="shared" si="30"/>
        <v>3.7326666666666668</v>
      </c>
      <c r="M646" t="str">
        <f t="shared" si="31"/>
        <v>Monday</v>
      </c>
      <c r="N646" t="str">
        <f t="shared" si="32"/>
        <v>Medium</v>
      </c>
    </row>
    <row r="647" spans="1:14" x14ac:dyDescent="0.35">
      <c r="A647">
        <v>1499206032</v>
      </c>
      <c r="B647" s="1">
        <v>42920</v>
      </c>
      <c r="C647" t="s">
        <v>11</v>
      </c>
      <c r="D647" t="s">
        <v>87</v>
      </c>
      <c r="E647" t="s">
        <v>89</v>
      </c>
      <c r="F647" t="s">
        <v>16</v>
      </c>
      <c r="G647" t="s">
        <v>90</v>
      </c>
      <c r="H647" s="2">
        <v>16</v>
      </c>
      <c r="I647" s="2">
        <v>1</v>
      </c>
      <c r="J647" s="3">
        <v>55.99</v>
      </c>
      <c r="K647" t="s">
        <v>13</v>
      </c>
      <c r="L647" s="3">
        <f t="shared" si="30"/>
        <v>3.4993750000000001</v>
      </c>
      <c r="M647" t="str">
        <f t="shared" si="31"/>
        <v>Tuesday</v>
      </c>
      <c r="N647" t="str">
        <f t="shared" si="32"/>
        <v>Medium</v>
      </c>
    </row>
    <row r="648" spans="1:14" x14ac:dyDescent="0.35">
      <c r="A648">
        <v>1478028507</v>
      </c>
      <c r="B648" s="1">
        <v>42675</v>
      </c>
      <c r="C648" t="s">
        <v>11</v>
      </c>
      <c r="D648" t="s">
        <v>87</v>
      </c>
      <c r="E648" t="s">
        <v>89</v>
      </c>
      <c r="F648" t="s">
        <v>12</v>
      </c>
      <c r="G648" t="s">
        <v>91</v>
      </c>
      <c r="H648" s="2">
        <v>15</v>
      </c>
      <c r="I648" s="2">
        <v>1</v>
      </c>
      <c r="J648" s="3">
        <v>55.99</v>
      </c>
      <c r="K648" t="s">
        <v>13</v>
      </c>
      <c r="L648" s="3">
        <f t="shared" si="30"/>
        <v>3.7326666666666668</v>
      </c>
      <c r="M648" t="str">
        <f t="shared" si="31"/>
        <v>Tuesday</v>
      </c>
      <c r="N648" t="str">
        <f t="shared" si="32"/>
        <v>Medium</v>
      </c>
    </row>
    <row r="649" spans="1:14" x14ac:dyDescent="0.35">
      <c r="A649">
        <v>1488857045</v>
      </c>
      <c r="B649" s="1">
        <v>42800</v>
      </c>
      <c r="C649" t="s">
        <v>11</v>
      </c>
      <c r="D649" t="s">
        <v>58</v>
      </c>
      <c r="E649" t="s">
        <v>89</v>
      </c>
      <c r="F649" t="s">
        <v>12</v>
      </c>
      <c r="G649" t="s">
        <v>90</v>
      </c>
      <c r="H649" s="2">
        <v>14</v>
      </c>
      <c r="I649" s="2">
        <v>1</v>
      </c>
      <c r="J649" s="3">
        <v>55.99</v>
      </c>
      <c r="K649" t="s">
        <v>13</v>
      </c>
      <c r="L649" s="3">
        <f t="shared" si="30"/>
        <v>3.9992857142857146</v>
      </c>
      <c r="M649" t="str">
        <f t="shared" si="31"/>
        <v>Monday</v>
      </c>
      <c r="N649" t="str">
        <f t="shared" si="32"/>
        <v>Medium</v>
      </c>
    </row>
    <row r="650" spans="1:14" x14ac:dyDescent="0.35">
      <c r="A650">
        <v>1479826771</v>
      </c>
      <c r="B650" s="1">
        <v>42696</v>
      </c>
      <c r="C650" t="s">
        <v>11</v>
      </c>
      <c r="D650" t="s">
        <v>18</v>
      </c>
      <c r="E650" t="s">
        <v>89</v>
      </c>
      <c r="F650" t="s">
        <v>16</v>
      </c>
      <c r="G650" t="s">
        <v>91</v>
      </c>
      <c r="H650" s="2">
        <v>11</v>
      </c>
      <c r="I650" s="2">
        <v>1</v>
      </c>
      <c r="J650" s="3">
        <v>55.99</v>
      </c>
      <c r="K650" t="s">
        <v>13</v>
      </c>
      <c r="L650" s="3">
        <f t="shared" si="30"/>
        <v>5.09</v>
      </c>
      <c r="M650" t="str">
        <f t="shared" si="31"/>
        <v>Tuesday</v>
      </c>
      <c r="N650" t="str">
        <f t="shared" si="32"/>
        <v>Medium</v>
      </c>
    </row>
    <row r="651" spans="1:14" x14ac:dyDescent="0.35">
      <c r="A651">
        <v>1478707641</v>
      </c>
      <c r="B651" s="1">
        <v>42683</v>
      </c>
      <c r="C651" t="s">
        <v>11</v>
      </c>
      <c r="D651" t="s">
        <v>18</v>
      </c>
      <c r="E651" t="s">
        <v>89</v>
      </c>
      <c r="F651" t="s">
        <v>12</v>
      </c>
      <c r="G651" t="s">
        <v>91</v>
      </c>
      <c r="H651" s="2">
        <v>14</v>
      </c>
      <c r="I651" s="2">
        <v>1</v>
      </c>
      <c r="J651" s="3">
        <v>55.99</v>
      </c>
      <c r="K651" t="s">
        <v>13</v>
      </c>
      <c r="L651" s="3">
        <f t="shared" si="30"/>
        <v>3.9992857142857146</v>
      </c>
      <c r="M651" t="str">
        <f t="shared" si="31"/>
        <v>Wednesday</v>
      </c>
      <c r="N651" t="str">
        <f t="shared" si="32"/>
        <v>Medium</v>
      </c>
    </row>
    <row r="652" spans="1:14" x14ac:dyDescent="0.35">
      <c r="A652">
        <v>1488409550</v>
      </c>
      <c r="B652" s="1">
        <v>42795</v>
      </c>
      <c r="C652" t="s">
        <v>11</v>
      </c>
      <c r="D652" t="s">
        <v>48</v>
      </c>
      <c r="E652" t="s">
        <v>89</v>
      </c>
      <c r="F652" t="s">
        <v>16</v>
      </c>
      <c r="G652" t="s">
        <v>90</v>
      </c>
      <c r="H652" s="2">
        <v>20</v>
      </c>
      <c r="I652" s="2">
        <v>1</v>
      </c>
      <c r="J652" s="3">
        <v>55.99</v>
      </c>
      <c r="K652" t="s">
        <v>13</v>
      </c>
      <c r="L652" s="3">
        <f t="shared" si="30"/>
        <v>2.7995000000000001</v>
      </c>
      <c r="M652" t="str">
        <f t="shared" si="31"/>
        <v>Wednesday</v>
      </c>
      <c r="N652" t="str">
        <f t="shared" si="32"/>
        <v>Medium</v>
      </c>
    </row>
    <row r="653" spans="1:14" x14ac:dyDescent="0.35">
      <c r="A653">
        <v>1495892360</v>
      </c>
      <c r="B653" s="1">
        <v>42882</v>
      </c>
      <c r="C653" t="s">
        <v>11</v>
      </c>
      <c r="D653" t="s">
        <v>18</v>
      </c>
      <c r="E653" t="s">
        <v>89</v>
      </c>
      <c r="F653" t="s">
        <v>16</v>
      </c>
      <c r="G653" t="s">
        <v>90</v>
      </c>
      <c r="H653" s="2">
        <v>19</v>
      </c>
      <c r="I653" s="2">
        <v>1</v>
      </c>
      <c r="J653" s="3">
        <v>55.99</v>
      </c>
      <c r="K653" t="s">
        <v>13</v>
      </c>
      <c r="L653" s="3">
        <f t="shared" si="30"/>
        <v>2.9468421052631579</v>
      </c>
      <c r="M653" t="str">
        <f t="shared" si="31"/>
        <v>Saturday</v>
      </c>
      <c r="N653" t="str">
        <f t="shared" si="32"/>
        <v>Medium</v>
      </c>
    </row>
    <row r="654" spans="1:14" x14ac:dyDescent="0.35">
      <c r="A654">
        <v>1497595973</v>
      </c>
      <c r="B654" s="1">
        <v>42902</v>
      </c>
      <c r="C654" t="s">
        <v>11</v>
      </c>
      <c r="D654" t="s">
        <v>44</v>
      </c>
      <c r="E654" t="s">
        <v>89</v>
      </c>
      <c r="F654" t="s">
        <v>16</v>
      </c>
      <c r="G654" t="s">
        <v>91</v>
      </c>
      <c r="H654" s="2">
        <v>62</v>
      </c>
      <c r="I654" s="2">
        <v>1</v>
      </c>
      <c r="J654" s="3">
        <v>56.64</v>
      </c>
      <c r="K654" t="s">
        <v>13</v>
      </c>
      <c r="L654" s="3">
        <f t="shared" si="30"/>
        <v>0.91354838709677422</v>
      </c>
      <c r="M654" t="str">
        <f t="shared" si="31"/>
        <v>Friday</v>
      </c>
      <c r="N654" t="str">
        <f t="shared" si="32"/>
        <v>Medium</v>
      </c>
    </row>
    <row r="655" spans="1:14" x14ac:dyDescent="0.35">
      <c r="A655">
        <v>1481502380</v>
      </c>
      <c r="B655" s="1">
        <v>42715</v>
      </c>
      <c r="C655" t="s">
        <v>11</v>
      </c>
      <c r="D655" t="s">
        <v>14</v>
      </c>
      <c r="E655" t="s">
        <v>89</v>
      </c>
      <c r="F655" t="s">
        <v>16</v>
      </c>
      <c r="G655" t="s">
        <v>91</v>
      </c>
      <c r="H655" s="2">
        <v>30</v>
      </c>
      <c r="I655" s="2">
        <v>1</v>
      </c>
      <c r="J655" s="3">
        <v>56.96</v>
      </c>
      <c r="K655" t="s">
        <v>13</v>
      </c>
      <c r="L655" s="3">
        <f t="shared" si="30"/>
        <v>1.8986666666666667</v>
      </c>
      <c r="M655" t="str">
        <f t="shared" si="31"/>
        <v>Sunday</v>
      </c>
      <c r="N655" t="str">
        <f t="shared" si="32"/>
        <v>Medium</v>
      </c>
    </row>
    <row r="656" spans="1:14" x14ac:dyDescent="0.35">
      <c r="A656">
        <v>1495027160</v>
      </c>
      <c r="B656" s="1">
        <v>42872</v>
      </c>
      <c r="C656" t="s">
        <v>11</v>
      </c>
      <c r="D656" t="s">
        <v>15</v>
      </c>
      <c r="E656" t="s">
        <v>89</v>
      </c>
      <c r="F656" t="s">
        <v>16</v>
      </c>
      <c r="G656" t="s">
        <v>91</v>
      </c>
      <c r="H656" s="2">
        <v>19</v>
      </c>
      <c r="I656" s="2">
        <v>1</v>
      </c>
      <c r="J656" s="3">
        <v>56.97</v>
      </c>
      <c r="K656" t="s">
        <v>13</v>
      </c>
      <c r="L656" s="3">
        <f t="shared" si="30"/>
        <v>2.9984210526315791</v>
      </c>
      <c r="M656" t="str">
        <f t="shared" si="31"/>
        <v>Wednesday</v>
      </c>
      <c r="N656" t="str">
        <f t="shared" si="32"/>
        <v>Medium</v>
      </c>
    </row>
    <row r="657" spans="1:14" x14ac:dyDescent="0.35">
      <c r="A657">
        <v>1497120419</v>
      </c>
      <c r="B657" s="1">
        <v>42896</v>
      </c>
      <c r="C657" t="s">
        <v>11</v>
      </c>
      <c r="D657" t="s">
        <v>87</v>
      </c>
      <c r="E657" t="s">
        <v>89</v>
      </c>
      <c r="F657" t="s">
        <v>12</v>
      </c>
      <c r="G657" t="s">
        <v>91</v>
      </c>
      <c r="H657" s="2">
        <v>24</v>
      </c>
      <c r="I657" s="2">
        <v>1</v>
      </c>
      <c r="J657" s="3">
        <v>56.97</v>
      </c>
      <c r="K657" t="s">
        <v>13</v>
      </c>
      <c r="L657" s="3">
        <f t="shared" si="30"/>
        <v>2.3737499999999998</v>
      </c>
      <c r="M657" t="str">
        <f t="shared" si="31"/>
        <v>Saturday</v>
      </c>
      <c r="N657" t="str">
        <f t="shared" si="32"/>
        <v>Medium</v>
      </c>
    </row>
    <row r="658" spans="1:14" x14ac:dyDescent="0.35">
      <c r="A658">
        <v>1490681306</v>
      </c>
      <c r="B658" s="1">
        <v>42821</v>
      </c>
      <c r="C658" t="s">
        <v>11</v>
      </c>
      <c r="D658" t="s">
        <v>87</v>
      </c>
      <c r="E658" t="s">
        <v>89</v>
      </c>
      <c r="F658" t="s">
        <v>16</v>
      </c>
      <c r="G658" t="s">
        <v>90</v>
      </c>
      <c r="H658" s="2">
        <v>18</v>
      </c>
      <c r="I658" s="2">
        <v>1</v>
      </c>
      <c r="J658" s="3">
        <v>56.97</v>
      </c>
      <c r="K658" t="s">
        <v>13</v>
      </c>
      <c r="L658" s="3">
        <f t="shared" si="30"/>
        <v>3.165</v>
      </c>
      <c r="M658" t="str">
        <f t="shared" si="31"/>
        <v>Monday</v>
      </c>
      <c r="N658" t="str">
        <f t="shared" si="32"/>
        <v>Medium</v>
      </c>
    </row>
    <row r="659" spans="1:14" x14ac:dyDescent="0.35">
      <c r="A659">
        <v>1499837563</v>
      </c>
      <c r="B659" s="1">
        <v>42927</v>
      </c>
      <c r="C659" t="s">
        <v>11</v>
      </c>
      <c r="D659" t="s">
        <v>87</v>
      </c>
      <c r="E659" t="s">
        <v>89</v>
      </c>
      <c r="F659" t="s">
        <v>16</v>
      </c>
      <c r="G659" t="s">
        <v>90</v>
      </c>
      <c r="H659" s="2">
        <v>44</v>
      </c>
      <c r="I659" s="2">
        <v>1</v>
      </c>
      <c r="J659" s="3">
        <v>57.03</v>
      </c>
      <c r="K659" t="s">
        <v>13</v>
      </c>
      <c r="L659" s="3">
        <f t="shared" si="30"/>
        <v>1.2961363636363636</v>
      </c>
      <c r="M659" t="str">
        <f t="shared" si="31"/>
        <v>Tuesday</v>
      </c>
      <c r="N659" t="str">
        <f t="shared" si="32"/>
        <v>Medium</v>
      </c>
    </row>
    <row r="660" spans="1:14" x14ac:dyDescent="0.35">
      <c r="A660">
        <v>1471217464</v>
      </c>
      <c r="B660" s="1">
        <v>42596</v>
      </c>
      <c r="C660" t="s">
        <v>11</v>
      </c>
      <c r="D660" t="s">
        <v>87</v>
      </c>
      <c r="E660" t="s">
        <v>89</v>
      </c>
      <c r="F660" t="s">
        <v>12</v>
      </c>
      <c r="G660" t="s">
        <v>90</v>
      </c>
      <c r="H660" s="2">
        <v>62</v>
      </c>
      <c r="I660" s="2">
        <v>1</v>
      </c>
      <c r="J660" s="3">
        <v>57.22</v>
      </c>
      <c r="K660" t="s">
        <v>13</v>
      </c>
      <c r="L660" s="3">
        <f t="shared" si="30"/>
        <v>0.92290322580645157</v>
      </c>
      <c r="M660" t="str">
        <f t="shared" si="31"/>
        <v>Sunday</v>
      </c>
      <c r="N660" t="str">
        <f t="shared" si="32"/>
        <v>Medium</v>
      </c>
    </row>
    <row r="661" spans="1:14" x14ac:dyDescent="0.35">
      <c r="A661">
        <v>1497625773</v>
      </c>
      <c r="B661" s="1">
        <v>42902</v>
      </c>
      <c r="C661" t="s">
        <v>11</v>
      </c>
      <c r="D661" t="s">
        <v>87</v>
      </c>
      <c r="E661" t="s">
        <v>89</v>
      </c>
      <c r="F661" t="s">
        <v>12</v>
      </c>
      <c r="G661" t="s">
        <v>91</v>
      </c>
      <c r="H661" s="2">
        <v>26</v>
      </c>
      <c r="I661" s="2">
        <v>1</v>
      </c>
      <c r="J661" s="3">
        <v>57.26</v>
      </c>
      <c r="K661" t="s">
        <v>13</v>
      </c>
      <c r="L661" s="3">
        <f t="shared" si="30"/>
        <v>2.2023076923076923</v>
      </c>
      <c r="M661" t="str">
        <f t="shared" si="31"/>
        <v>Friday</v>
      </c>
      <c r="N661" t="str">
        <f t="shared" si="32"/>
        <v>Medium</v>
      </c>
    </row>
    <row r="662" spans="1:14" x14ac:dyDescent="0.35">
      <c r="A662">
        <v>1470842277</v>
      </c>
      <c r="B662" s="1">
        <v>42592</v>
      </c>
      <c r="C662" t="s">
        <v>11</v>
      </c>
      <c r="D662" t="s">
        <v>87</v>
      </c>
      <c r="E662" t="s">
        <v>89</v>
      </c>
      <c r="F662" t="s">
        <v>12</v>
      </c>
      <c r="G662" t="s">
        <v>90</v>
      </c>
      <c r="H662" s="2">
        <v>41</v>
      </c>
      <c r="I662" s="2">
        <v>1</v>
      </c>
      <c r="J662" s="3">
        <v>58.24</v>
      </c>
      <c r="K662" t="s">
        <v>13</v>
      </c>
      <c r="L662" s="3">
        <f t="shared" si="30"/>
        <v>1.4204878048780489</v>
      </c>
      <c r="M662" t="str">
        <f t="shared" si="31"/>
        <v>Wednesday</v>
      </c>
      <c r="N662" t="str">
        <f t="shared" si="32"/>
        <v>Medium</v>
      </c>
    </row>
    <row r="663" spans="1:14" x14ac:dyDescent="0.35">
      <c r="A663">
        <v>1480094582</v>
      </c>
      <c r="B663" s="1">
        <v>42699</v>
      </c>
      <c r="C663" t="s">
        <v>11</v>
      </c>
      <c r="D663" t="s">
        <v>37</v>
      </c>
      <c r="E663" t="s">
        <v>89</v>
      </c>
      <c r="F663" t="s">
        <v>12</v>
      </c>
      <c r="G663" t="s">
        <v>91</v>
      </c>
      <c r="H663" s="2">
        <v>20</v>
      </c>
      <c r="I663" s="2">
        <v>1</v>
      </c>
      <c r="J663" s="3">
        <v>58.99</v>
      </c>
      <c r="K663" t="s">
        <v>13</v>
      </c>
      <c r="L663" s="3">
        <f t="shared" si="30"/>
        <v>2.9495</v>
      </c>
      <c r="M663" t="str">
        <f t="shared" si="31"/>
        <v>Friday</v>
      </c>
      <c r="N663" t="str">
        <f t="shared" si="32"/>
        <v>Medium</v>
      </c>
    </row>
    <row r="664" spans="1:14" x14ac:dyDescent="0.35">
      <c r="A664">
        <v>1480997057</v>
      </c>
      <c r="B664" s="1">
        <v>42709</v>
      </c>
      <c r="C664" t="s">
        <v>11</v>
      </c>
      <c r="D664" t="s">
        <v>87</v>
      </c>
      <c r="E664" t="s">
        <v>89</v>
      </c>
      <c r="F664" t="s">
        <v>16</v>
      </c>
      <c r="G664" t="s">
        <v>91</v>
      </c>
      <c r="H664" s="2">
        <v>36</v>
      </c>
      <c r="I664" s="2">
        <v>1</v>
      </c>
      <c r="J664" s="3">
        <v>59.46</v>
      </c>
      <c r="K664" t="s">
        <v>13</v>
      </c>
      <c r="L664" s="3">
        <f t="shared" si="30"/>
        <v>1.6516666666666666</v>
      </c>
      <c r="M664" t="str">
        <f t="shared" si="31"/>
        <v>Monday</v>
      </c>
      <c r="N664" t="str">
        <f t="shared" si="32"/>
        <v>Medium</v>
      </c>
    </row>
    <row r="665" spans="1:14" x14ac:dyDescent="0.35">
      <c r="A665">
        <v>1474671217</v>
      </c>
      <c r="B665" s="1">
        <v>42636</v>
      </c>
      <c r="C665" t="s">
        <v>11</v>
      </c>
      <c r="D665" t="s">
        <v>87</v>
      </c>
      <c r="E665" t="s">
        <v>89</v>
      </c>
      <c r="F665" t="s">
        <v>12</v>
      </c>
      <c r="G665" t="s">
        <v>91</v>
      </c>
      <c r="H665" s="2">
        <v>23</v>
      </c>
      <c r="I665" s="2">
        <v>1</v>
      </c>
      <c r="J665" s="3">
        <v>59.94</v>
      </c>
      <c r="K665" t="s">
        <v>13</v>
      </c>
      <c r="L665" s="3">
        <f t="shared" si="30"/>
        <v>2.6060869565217391</v>
      </c>
      <c r="M665" t="str">
        <f t="shared" si="31"/>
        <v>Friday</v>
      </c>
      <c r="N665" t="str">
        <f t="shared" si="32"/>
        <v>Medium</v>
      </c>
    </row>
    <row r="666" spans="1:14" x14ac:dyDescent="0.35">
      <c r="A666">
        <v>1482451555</v>
      </c>
      <c r="B666" s="1">
        <v>42726</v>
      </c>
      <c r="C666" t="s">
        <v>11</v>
      </c>
      <c r="D666" t="s">
        <v>87</v>
      </c>
      <c r="E666" t="s">
        <v>89</v>
      </c>
      <c r="F666" t="s">
        <v>12</v>
      </c>
      <c r="G666" t="s">
        <v>91</v>
      </c>
      <c r="H666" s="2">
        <v>29</v>
      </c>
      <c r="I666" s="2">
        <v>1</v>
      </c>
      <c r="J666" s="3">
        <v>60.97</v>
      </c>
      <c r="K666" t="s">
        <v>13</v>
      </c>
      <c r="L666" s="3">
        <f t="shared" si="30"/>
        <v>2.1024137931034481</v>
      </c>
      <c r="M666" t="str">
        <f t="shared" si="31"/>
        <v>Thursday</v>
      </c>
      <c r="N666" t="str">
        <f t="shared" si="32"/>
        <v>Medium</v>
      </c>
    </row>
    <row r="667" spans="1:14" x14ac:dyDescent="0.35">
      <c r="A667">
        <v>1486843110</v>
      </c>
      <c r="B667" s="1">
        <v>42777</v>
      </c>
      <c r="C667" t="s">
        <v>11</v>
      </c>
      <c r="D667" t="s">
        <v>28</v>
      </c>
      <c r="E667" t="s">
        <v>89</v>
      </c>
      <c r="F667" t="s">
        <v>16</v>
      </c>
      <c r="G667" t="s">
        <v>91</v>
      </c>
      <c r="H667" s="2">
        <v>36</v>
      </c>
      <c r="I667" s="2">
        <v>1</v>
      </c>
      <c r="J667" s="3">
        <v>60.97</v>
      </c>
      <c r="K667" t="s">
        <v>13</v>
      </c>
      <c r="L667" s="3">
        <f t="shared" si="30"/>
        <v>1.6936111111111112</v>
      </c>
      <c r="M667" t="str">
        <f t="shared" si="31"/>
        <v>Saturday</v>
      </c>
      <c r="N667" t="str">
        <f t="shared" si="32"/>
        <v>Medium</v>
      </c>
    </row>
    <row r="668" spans="1:14" x14ac:dyDescent="0.35">
      <c r="A668">
        <v>1474400136</v>
      </c>
      <c r="B668" s="1">
        <v>42633</v>
      </c>
      <c r="C668" t="s">
        <v>80</v>
      </c>
      <c r="D668" t="s">
        <v>87</v>
      </c>
      <c r="E668" t="s">
        <v>89</v>
      </c>
      <c r="F668" t="s">
        <v>12</v>
      </c>
      <c r="G668" t="s">
        <v>90</v>
      </c>
      <c r="H668" s="2">
        <v>44</v>
      </c>
      <c r="I668" s="2">
        <v>1</v>
      </c>
      <c r="J668" s="3">
        <v>60.97</v>
      </c>
      <c r="K668" t="s">
        <v>13</v>
      </c>
      <c r="L668" s="3">
        <f t="shared" si="30"/>
        <v>1.3856818181818182</v>
      </c>
      <c r="M668" t="str">
        <f t="shared" si="31"/>
        <v>Tuesday</v>
      </c>
      <c r="N668" t="str">
        <f t="shared" si="32"/>
        <v>Medium</v>
      </c>
    </row>
    <row r="669" spans="1:14" x14ac:dyDescent="0.35">
      <c r="A669">
        <v>1477854668</v>
      </c>
      <c r="B669" s="1">
        <v>42673</v>
      </c>
      <c r="C669" t="s">
        <v>11</v>
      </c>
      <c r="D669" t="s">
        <v>87</v>
      </c>
      <c r="E669" t="s">
        <v>89</v>
      </c>
      <c r="F669" t="s">
        <v>12</v>
      </c>
      <c r="G669" t="s">
        <v>90</v>
      </c>
      <c r="H669" s="2">
        <v>26</v>
      </c>
      <c r="I669" s="2">
        <v>1</v>
      </c>
      <c r="J669" s="3">
        <v>60.98</v>
      </c>
      <c r="K669" t="s">
        <v>13</v>
      </c>
      <c r="L669" s="3">
        <f t="shared" si="30"/>
        <v>2.3453846153846154</v>
      </c>
      <c r="M669" t="str">
        <f t="shared" si="31"/>
        <v>Sunday</v>
      </c>
      <c r="N669" t="str">
        <f t="shared" si="32"/>
        <v>Medium</v>
      </c>
    </row>
    <row r="670" spans="1:14" x14ac:dyDescent="0.35">
      <c r="A670">
        <v>1471060641</v>
      </c>
      <c r="B670" s="1">
        <v>42594</v>
      </c>
      <c r="C670" t="s">
        <v>11</v>
      </c>
      <c r="D670" t="s">
        <v>87</v>
      </c>
      <c r="E670" t="s">
        <v>89</v>
      </c>
      <c r="F670" t="s">
        <v>12</v>
      </c>
      <c r="G670" t="s">
        <v>90</v>
      </c>
      <c r="H670" s="2">
        <v>11</v>
      </c>
      <c r="I670" s="2">
        <v>1</v>
      </c>
      <c r="J670" s="3">
        <v>61.45</v>
      </c>
      <c r="K670" t="s">
        <v>13</v>
      </c>
      <c r="L670" s="3">
        <f t="shared" si="30"/>
        <v>5.5863636363636369</v>
      </c>
      <c r="M670" t="str">
        <f t="shared" si="31"/>
        <v>Friday</v>
      </c>
      <c r="N670" t="str">
        <f t="shared" si="32"/>
        <v>Medium</v>
      </c>
    </row>
    <row r="671" spans="1:14" x14ac:dyDescent="0.35">
      <c r="A671">
        <v>1472681213</v>
      </c>
      <c r="B671" s="1">
        <v>42613</v>
      </c>
      <c r="C671" t="s">
        <v>11</v>
      </c>
      <c r="D671" t="s">
        <v>23</v>
      </c>
      <c r="E671" t="s">
        <v>89</v>
      </c>
      <c r="F671" t="s">
        <v>16</v>
      </c>
      <c r="G671" t="s">
        <v>90</v>
      </c>
      <c r="H671" s="2">
        <v>20</v>
      </c>
      <c r="I671" s="2">
        <v>1</v>
      </c>
      <c r="J671" s="3">
        <v>61.61</v>
      </c>
      <c r="K671" t="s">
        <v>13</v>
      </c>
      <c r="L671" s="3">
        <f t="shared" si="30"/>
        <v>3.0804999999999998</v>
      </c>
      <c r="M671" t="str">
        <f t="shared" si="31"/>
        <v>Wednesday</v>
      </c>
      <c r="N671" t="str">
        <f t="shared" si="32"/>
        <v>Medium</v>
      </c>
    </row>
    <row r="672" spans="1:14" x14ac:dyDescent="0.35">
      <c r="A672">
        <v>1473897499</v>
      </c>
      <c r="B672" s="1">
        <v>42627</v>
      </c>
      <c r="C672" t="s">
        <v>11</v>
      </c>
      <c r="D672" t="s">
        <v>87</v>
      </c>
      <c r="E672" t="s">
        <v>89</v>
      </c>
      <c r="F672" t="s">
        <v>12</v>
      </c>
      <c r="G672" t="s">
        <v>90</v>
      </c>
      <c r="H672" s="2">
        <v>17</v>
      </c>
      <c r="I672" s="2">
        <v>1</v>
      </c>
      <c r="J672" s="3">
        <v>62.75</v>
      </c>
      <c r="K672" t="s">
        <v>13</v>
      </c>
      <c r="L672" s="3">
        <f t="shared" si="30"/>
        <v>3.6911764705882355</v>
      </c>
      <c r="M672" t="str">
        <f t="shared" si="31"/>
        <v>Wednesday</v>
      </c>
      <c r="N672" t="str">
        <f t="shared" si="32"/>
        <v>Medium</v>
      </c>
    </row>
    <row r="673" spans="1:14" x14ac:dyDescent="0.35">
      <c r="A673">
        <v>1487129406</v>
      </c>
      <c r="B673" s="1">
        <v>42780</v>
      </c>
      <c r="C673" t="s">
        <v>11</v>
      </c>
      <c r="D673" t="s">
        <v>87</v>
      </c>
      <c r="E673" t="s">
        <v>89</v>
      </c>
      <c r="F673" t="s">
        <v>12</v>
      </c>
      <c r="G673" t="s">
        <v>90</v>
      </c>
      <c r="H673" s="2">
        <v>62</v>
      </c>
      <c r="I673" s="2">
        <v>1</v>
      </c>
      <c r="J673" s="3">
        <v>62.92</v>
      </c>
      <c r="K673" t="s">
        <v>13</v>
      </c>
      <c r="L673" s="3">
        <f t="shared" si="30"/>
        <v>1.0148387096774194</v>
      </c>
      <c r="M673" t="str">
        <f t="shared" si="31"/>
        <v>Tuesday</v>
      </c>
      <c r="N673" t="str">
        <f t="shared" si="32"/>
        <v>Medium</v>
      </c>
    </row>
    <row r="674" spans="1:14" x14ac:dyDescent="0.35">
      <c r="A674">
        <v>1477235659</v>
      </c>
      <c r="B674" s="1">
        <v>42666</v>
      </c>
      <c r="C674" t="s">
        <v>11</v>
      </c>
      <c r="D674" t="s">
        <v>25</v>
      </c>
      <c r="E674" t="s">
        <v>89</v>
      </c>
      <c r="F674" t="s">
        <v>12</v>
      </c>
      <c r="G674" t="s">
        <v>91</v>
      </c>
      <c r="H674" s="2">
        <v>21</v>
      </c>
      <c r="I674" s="2">
        <v>1</v>
      </c>
      <c r="J674" s="3">
        <v>62.96</v>
      </c>
      <c r="K674" t="s">
        <v>13</v>
      </c>
      <c r="L674" s="3">
        <f t="shared" si="30"/>
        <v>2.9980952380952379</v>
      </c>
      <c r="M674" t="str">
        <f t="shared" si="31"/>
        <v>Sunday</v>
      </c>
      <c r="N674" t="str">
        <f t="shared" si="32"/>
        <v>Medium</v>
      </c>
    </row>
    <row r="675" spans="1:14" x14ac:dyDescent="0.35">
      <c r="A675">
        <v>1470750725</v>
      </c>
      <c r="B675" s="1">
        <v>42591</v>
      </c>
      <c r="C675" t="s">
        <v>11</v>
      </c>
      <c r="D675" t="s">
        <v>87</v>
      </c>
      <c r="E675" t="s">
        <v>89</v>
      </c>
      <c r="F675" t="s">
        <v>12</v>
      </c>
      <c r="G675" t="s">
        <v>91</v>
      </c>
      <c r="H675" s="2">
        <v>18</v>
      </c>
      <c r="I675" s="2">
        <v>1</v>
      </c>
      <c r="J675" s="3">
        <v>63.19</v>
      </c>
      <c r="K675" t="s">
        <v>13</v>
      </c>
      <c r="L675" s="3">
        <f t="shared" si="30"/>
        <v>3.5105555555555554</v>
      </c>
      <c r="M675" t="str">
        <f t="shared" si="31"/>
        <v>Tuesday</v>
      </c>
      <c r="N675" t="str">
        <f t="shared" si="32"/>
        <v>Medium</v>
      </c>
    </row>
    <row r="676" spans="1:14" x14ac:dyDescent="0.35">
      <c r="A676">
        <v>1493234547</v>
      </c>
      <c r="B676" s="1">
        <v>42851</v>
      </c>
      <c r="C676" t="s">
        <v>11</v>
      </c>
      <c r="D676" t="s">
        <v>87</v>
      </c>
      <c r="E676" t="s">
        <v>89</v>
      </c>
      <c r="F676" t="s">
        <v>16</v>
      </c>
      <c r="G676" t="s">
        <v>90</v>
      </c>
      <c r="H676" s="2">
        <v>34</v>
      </c>
      <c r="I676" s="2">
        <v>1</v>
      </c>
      <c r="J676" s="3">
        <v>63.69</v>
      </c>
      <c r="K676" t="s">
        <v>13</v>
      </c>
      <c r="L676" s="3">
        <f t="shared" si="30"/>
        <v>1.8732352941176469</v>
      </c>
      <c r="M676" t="str">
        <f t="shared" si="31"/>
        <v>Wednesday</v>
      </c>
      <c r="N676" t="str">
        <f t="shared" si="32"/>
        <v>Medium</v>
      </c>
    </row>
    <row r="677" spans="1:14" x14ac:dyDescent="0.35">
      <c r="A677">
        <v>1486440487</v>
      </c>
      <c r="B677" s="1">
        <v>42772</v>
      </c>
      <c r="C677" t="s">
        <v>11</v>
      </c>
      <c r="D677" t="s">
        <v>15</v>
      </c>
      <c r="E677" t="s">
        <v>89</v>
      </c>
      <c r="F677" t="s">
        <v>12</v>
      </c>
      <c r="G677" t="s">
        <v>91</v>
      </c>
      <c r="H677" s="2">
        <v>43</v>
      </c>
      <c r="I677" s="2">
        <v>1</v>
      </c>
      <c r="J677" s="3">
        <v>63.97</v>
      </c>
      <c r="K677" t="s">
        <v>13</v>
      </c>
      <c r="L677" s="3">
        <f t="shared" si="30"/>
        <v>1.4876744186046511</v>
      </c>
      <c r="M677" t="str">
        <f t="shared" si="31"/>
        <v>Monday</v>
      </c>
      <c r="N677" t="str">
        <f t="shared" si="32"/>
        <v>Medium</v>
      </c>
    </row>
    <row r="678" spans="1:14" x14ac:dyDescent="0.35">
      <c r="A678">
        <v>1480941992</v>
      </c>
      <c r="B678" s="1">
        <v>42709</v>
      </c>
      <c r="C678" t="s">
        <v>11</v>
      </c>
      <c r="D678" t="s">
        <v>87</v>
      </c>
      <c r="E678" t="s">
        <v>89</v>
      </c>
      <c r="F678" t="s">
        <v>12</v>
      </c>
      <c r="G678" t="s">
        <v>91</v>
      </c>
      <c r="H678" s="2">
        <v>15</v>
      </c>
      <c r="I678" s="2">
        <v>1</v>
      </c>
      <c r="J678" s="3">
        <v>64.87</v>
      </c>
      <c r="K678" t="s">
        <v>13</v>
      </c>
      <c r="L678" s="3">
        <f t="shared" si="30"/>
        <v>4.3246666666666673</v>
      </c>
      <c r="M678" t="str">
        <f t="shared" si="31"/>
        <v>Monday</v>
      </c>
      <c r="N678" t="str">
        <f t="shared" si="32"/>
        <v>Medium</v>
      </c>
    </row>
    <row r="679" spans="1:14" x14ac:dyDescent="0.35">
      <c r="A679">
        <v>1485210885</v>
      </c>
      <c r="B679" s="1">
        <v>42758</v>
      </c>
      <c r="C679" t="s">
        <v>11</v>
      </c>
      <c r="D679" t="s">
        <v>23</v>
      </c>
      <c r="E679" t="s">
        <v>89</v>
      </c>
      <c r="F679" t="s">
        <v>16</v>
      </c>
      <c r="G679" t="s">
        <v>91</v>
      </c>
      <c r="H679" s="2">
        <v>48</v>
      </c>
      <c r="I679" s="2">
        <v>1</v>
      </c>
      <c r="J679" s="3">
        <v>64.91</v>
      </c>
      <c r="K679" t="s">
        <v>13</v>
      </c>
      <c r="L679" s="3">
        <f t="shared" si="30"/>
        <v>1.3522916666666667</v>
      </c>
      <c r="M679" t="str">
        <f t="shared" si="31"/>
        <v>Monday</v>
      </c>
      <c r="N679" t="str">
        <f t="shared" si="32"/>
        <v>Medium</v>
      </c>
    </row>
    <row r="680" spans="1:14" x14ac:dyDescent="0.35">
      <c r="A680">
        <v>1489654160</v>
      </c>
      <c r="B680" s="1">
        <v>42810</v>
      </c>
      <c r="C680" t="s">
        <v>11</v>
      </c>
      <c r="D680" t="s">
        <v>87</v>
      </c>
      <c r="E680" t="s">
        <v>89</v>
      </c>
      <c r="F680" t="s">
        <v>12</v>
      </c>
      <c r="G680" t="s">
        <v>90</v>
      </c>
      <c r="H680" s="2">
        <v>23</v>
      </c>
      <c r="I680" s="2">
        <v>1</v>
      </c>
      <c r="J680" s="3">
        <v>65.09</v>
      </c>
      <c r="K680" t="s">
        <v>13</v>
      </c>
      <c r="L680" s="3">
        <f t="shared" si="30"/>
        <v>2.83</v>
      </c>
      <c r="M680" t="str">
        <f t="shared" si="31"/>
        <v>Thursday</v>
      </c>
      <c r="N680" t="str">
        <f t="shared" si="32"/>
        <v>Medium</v>
      </c>
    </row>
    <row r="681" spans="1:14" x14ac:dyDescent="0.35">
      <c r="A681">
        <v>1473277035</v>
      </c>
      <c r="B681" s="1">
        <v>42620</v>
      </c>
      <c r="C681" t="s">
        <v>11</v>
      </c>
      <c r="D681" t="s">
        <v>87</v>
      </c>
      <c r="E681" t="s">
        <v>89</v>
      </c>
      <c r="F681" t="s">
        <v>12</v>
      </c>
      <c r="G681" t="s">
        <v>90</v>
      </c>
      <c r="H681" s="2">
        <v>31</v>
      </c>
      <c r="I681" s="2">
        <v>1</v>
      </c>
      <c r="J681" s="3">
        <v>65.47</v>
      </c>
      <c r="K681" t="s">
        <v>13</v>
      </c>
      <c r="L681" s="3">
        <f t="shared" si="30"/>
        <v>2.1119354838709676</v>
      </c>
      <c r="M681" t="str">
        <f t="shared" si="31"/>
        <v>Wednesday</v>
      </c>
      <c r="N681" t="str">
        <f t="shared" si="32"/>
        <v>Medium</v>
      </c>
    </row>
    <row r="682" spans="1:14" x14ac:dyDescent="0.35">
      <c r="A682">
        <v>1478236905</v>
      </c>
      <c r="B682" s="1">
        <v>42677</v>
      </c>
      <c r="C682" t="s">
        <v>11</v>
      </c>
      <c r="D682" t="s">
        <v>14</v>
      </c>
      <c r="E682" t="s">
        <v>89</v>
      </c>
      <c r="F682" t="s">
        <v>12</v>
      </c>
      <c r="G682" t="s">
        <v>91</v>
      </c>
      <c r="H682" s="2">
        <v>18</v>
      </c>
      <c r="I682" s="2">
        <v>1</v>
      </c>
      <c r="J682" s="3">
        <v>65.92</v>
      </c>
      <c r="K682" t="s">
        <v>13</v>
      </c>
      <c r="L682" s="3">
        <f t="shared" si="30"/>
        <v>3.6622222222222223</v>
      </c>
      <c r="M682" t="str">
        <f t="shared" si="31"/>
        <v>Thursday</v>
      </c>
      <c r="N682" t="str">
        <f t="shared" si="32"/>
        <v>Medium</v>
      </c>
    </row>
    <row r="683" spans="1:14" x14ac:dyDescent="0.35">
      <c r="A683">
        <v>1486163196</v>
      </c>
      <c r="B683" s="1">
        <v>42769</v>
      </c>
      <c r="C683" t="s">
        <v>11</v>
      </c>
      <c r="D683" t="s">
        <v>88</v>
      </c>
      <c r="E683" t="s">
        <v>89</v>
      </c>
      <c r="F683" t="s">
        <v>12</v>
      </c>
      <c r="G683" t="s">
        <v>91</v>
      </c>
      <c r="H683" s="2">
        <v>48</v>
      </c>
      <c r="I683" s="2">
        <v>1</v>
      </c>
      <c r="J683" s="3">
        <v>65.95</v>
      </c>
      <c r="K683" t="s">
        <v>13</v>
      </c>
      <c r="L683" s="3">
        <f t="shared" si="30"/>
        <v>1.3739583333333334</v>
      </c>
      <c r="M683" t="str">
        <f t="shared" si="31"/>
        <v>Friday</v>
      </c>
      <c r="N683" t="str">
        <f t="shared" si="32"/>
        <v>Medium</v>
      </c>
    </row>
    <row r="684" spans="1:14" x14ac:dyDescent="0.35">
      <c r="A684">
        <v>1474063434</v>
      </c>
      <c r="B684" s="1">
        <v>42629</v>
      </c>
      <c r="C684" t="s">
        <v>11</v>
      </c>
      <c r="D684" t="s">
        <v>14</v>
      </c>
      <c r="E684" t="s">
        <v>89</v>
      </c>
      <c r="F684" t="s">
        <v>12</v>
      </c>
      <c r="G684" t="s">
        <v>90</v>
      </c>
      <c r="H684" s="2">
        <v>24</v>
      </c>
      <c r="I684" s="2">
        <v>1</v>
      </c>
      <c r="J684" s="3">
        <v>65.959999999999994</v>
      </c>
      <c r="K684" t="s">
        <v>13</v>
      </c>
      <c r="L684" s="3">
        <f t="shared" si="30"/>
        <v>2.7483333333333331</v>
      </c>
      <c r="M684" t="str">
        <f t="shared" si="31"/>
        <v>Friday</v>
      </c>
      <c r="N684" t="str">
        <f t="shared" si="32"/>
        <v>Medium</v>
      </c>
    </row>
    <row r="685" spans="1:14" x14ac:dyDescent="0.35">
      <c r="A685">
        <v>1486193195</v>
      </c>
      <c r="B685" s="1">
        <v>42769</v>
      </c>
      <c r="C685" t="s">
        <v>11</v>
      </c>
      <c r="D685" t="s">
        <v>87</v>
      </c>
      <c r="E685" t="s">
        <v>89</v>
      </c>
      <c r="F685" t="s">
        <v>12</v>
      </c>
      <c r="G685" t="s">
        <v>91</v>
      </c>
      <c r="H685" s="2">
        <v>22</v>
      </c>
      <c r="I685" s="2">
        <v>1</v>
      </c>
      <c r="J685" s="3">
        <v>66.98</v>
      </c>
      <c r="K685" t="s">
        <v>13</v>
      </c>
      <c r="L685" s="3">
        <f t="shared" si="30"/>
        <v>3.0445454545454549</v>
      </c>
      <c r="M685" t="str">
        <f t="shared" si="31"/>
        <v>Friday</v>
      </c>
      <c r="N685" t="str">
        <f t="shared" si="32"/>
        <v>Medium</v>
      </c>
    </row>
    <row r="686" spans="1:14" x14ac:dyDescent="0.35">
      <c r="A686">
        <v>1501214230</v>
      </c>
      <c r="B686" s="1">
        <v>42943</v>
      </c>
      <c r="C686" t="s">
        <v>11</v>
      </c>
      <c r="D686" t="s">
        <v>88</v>
      </c>
      <c r="E686" t="s">
        <v>89</v>
      </c>
      <c r="F686" t="s">
        <v>12</v>
      </c>
      <c r="G686" t="s">
        <v>90</v>
      </c>
      <c r="H686" s="2">
        <v>33</v>
      </c>
      <c r="I686" s="2">
        <v>2</v>
      </c>
      <c r="J686" s="3">
        <v>68.709999999999994</v>
      </c>
      <c r="K686" t="s">
        <v>13</v>
      </c>
      <c r="L686" s="3">
        <f t="shared" si="30"/>
        <v>2.082121212121212</v>
      </c>
      <c r="M686" t="str">
        <f t="shared" si="31"/>
        <v>Thursday</v>
      </c>
      <c r="N686" t="str">
        <f t="shared" si="32"/>
        <v>Medium</v>
      </c>
    </row>
    <row r="687" spans="1:14" x14ac:dyDescent="0.35">
      <c r="A687">
        <v>1472503146</v>
      </c>
      <c r="B687" s="1">
        <v>42611</v>
      </c>
      <c r="C687" t="s">
        <v>11</v>
      </c>
      <c r="D687" t="s">
        <v>87</v>
      </c>
      <c r="E687" t="s">
        <v>89</v>
      </c>
      <c r="F687" t="s">
        <v>39</v>
      </c>
      <c r="G687" t="s">
        <v>91</v>
      </c>
      <c r="H687" s="2">
        <v>11</v>
      </c>
      <c r="I687" s="2">
        <v>1</v>
      </c>
      <c r="J687" s="3">
        <v>69.010000000000005</v>
      </c>
      <c r="K687" t="s">
        <v>13</v>
      </c>
      <c r="L687" s="3">
        <f t="shared" si="30"/>
        <v>6.2736363636363643</v>
      </c>
      <c r="M687" t="str">
        <f t="shared" si="31"/>
        <v>Monday</v>
      </c>
      <c r="N687" t="str">
        <f t="shared" si="32"/>
        <v>Medium</v>
      </c>
    </row>
    <row r="688" spans="1:14" x14ac:dyDescent="0.35">
      <c r="A688">
        <v>1478157761</v>
      </c>
      <c r="B688" s="1">
        <v>42677</v>
      </c>
      <c r="C688" t="s">
        <v>11</v>
      </c>
      <c r="D688" t="s">
        <v>54</v>
      </c>
      <c r="E688" t="s">
        <v>89</v>
      </c>
      <c r="F688" t="s">
        <v>12</v>
      </c>
      <c r="G688" t="s">
        <v>91</v>
      </c>
      <c r="H688" s="2">
        <v>11</v>
      </c>
      <c r="I688" s="2">
        <v>1</v>
      </c>
      <c r="J688" s="3">
        <v>69.430000000000007</v>
      </c>
      <c r="K688" t="s">
        <v>13</v>
      </c>
      <c r="L688" s="3">
        <f t="shared" si="30"/>
        <v>6.3118181818181824</v>
      </c>
      <c r="M688" t="str">
        <f t="shared" si="31"/>
        <v>Thursday</v>
      </c>
      <c r="N688" t="str">
        <f t="shared" si="32"/>
        <v>Medium</v>
      </c>
    </row>
    <row r="689" spans="1:14" x14ac:dyDescent="0.35">
      <c r="A689">
        <v>1492897037</v>
      </c>
      <c r="B689" s="1">
        <v>42847</v>
      </c>
      <c r="C689" t="s">
        <v>11</v>
      </c>
      <c r="D689" t="s">
        <v>27</v>
      </c>
      <c r="E689" t="s">
        <v>89</v>
      </c>
      <c r="F689" t="s">
        <v>16</v>
      </c>
      <c r="G689" t="s">
        <v>90</v>
      </c>
      <c r="H689" s="2">
        <v>27</v>
      </c>
      <c r="I689" s="2">
        <v>1</v>
      </c>
      <c r="J689" s="3">
        <v>69.48</v>
      </c>
      <c r="K689" t="s">
        <v>13</v>
      </c>
      <c r="L689" s="3">
        <f t="shared" si="30"/>
        <v>2.5733333333333337</v>
      </c>
      <c r="M689" t="str">
        <f t="shared" si="31"/>
        <v>Saturday</v>
      </c>
      <c r="N689" t="str">
        <f t="shared" si="32"/>
        <v>Medium</v>
      </c>
    </row>
    <row r="690" spans="1:14" x14ac:dyDescent="0.35">
      <c r="A690">
        <v>1500599629</v>
      </c>
      <c r="B690" s="1">
        <v>42936</v>
      </c>
      <c r="C690" t="s">
        <v>11</v>
      </c>
      <c r="D690" t="s">
        <v>87</v>
      </c>
      <c r="E690" t="s">
        <v>89</v>
      </c>
      <c r="F690" t="s">
        <v>12</v>
      </c>
      <c r="G690" t="s">
        <v>90</v>
      </c>
      <c r="H690" s="2">
        <v>19</v>
      </c>
      <c r="I690" s="2">
        <v>1</v>
      </c>
      <c r="J690" s="3">
        <v>69.989999999999995</v>
      </c>
      <c r="K690" t="s">
        <v>13</v>
      </c>
      <c r="L690" s="3">
        <f t="shared" si="30"/>
        <v>3.6836842105263155</v>
      </c>
      <c r="M690" t="str">
        <f t="shared" si="31"/>
        <v>Thursday</v>
      </c>
      <c r="N690" t="str">
        <f t="shared" si="32"/>
        <v>Medium</v>
      </c>
    </row>
    <row r="691" spans="1:14" x14ac:dyDescent="0.35">
      <c r="A691">
        <v>1478906412</v>
      </c>
      <c r="B691" s="1">
        <v>42685</v>
      </c>
      <c r="C691" t="s">
        <v>11</v>
      </c>
      <c r="D691" t="s">
        <v>87</v>
      </c>
      <c r="E691" t="s">
        <v>89</v>
      </c>
      <c r="F691" t="s">
        <v>12</v>
      </c>
      <c r="G691" t="s">
        <v>91</v>
      </c>
      <c r="H691" s="2">
        <v>25</v>
      </c>
      <c r="I691" s="2">
        <v>2</v>
      </c>
      <c r="J691" s="3">
        <v>69.989999999999995</v>
      </c>
      <c r="K691" t="s">
        <v>13</v>
      </c>
      <c r="L691" s="3">
        <f t="shared" si="30"/>
        <v>2.7995999999999999</v>
      </c>
      <c r="M691" t="str">
        <f t="shared" si="31"/>
        <v>Friday</v>
      </c>
      <c r="N691" t="str">
        <f t="shared" si="32"/>
        <v>Medium</v>
      </c>
    </row>
    <row r="692" spans="1:14" x14ac:dyDescent="0.35">
      <c r="A692">
        <v>1485284049</v>
      </c>
      <c r="B692" s="1">
        <v>42759</v>
      </c>
      <c r="C692" t="s">
        <v>11</v>
      </c>
      <c r="D692" t="s">
        <v>87</v>
      </c>
      <c r="E692" t="s">
        <v>89</v>
      </c>
      <c r="F692" t="s">
        <v>16</v>
      </c>
      <c r="G692" t="s">
        <v>91</v>
      </c>
      <c r="H692" s="2">
        <v>16</v>
      </c>
      <c r="I692" s="2">
        <v>1</v>
      </c>
      <c r="J692" s="3">
        <v>69.989999999999995</v>
      </c>
      <c r="K692" t="s">
        <v>13</v>
      </c>
      <c r="L692" s="3">
        <f t="shared" si="30"/>
        <v>4.3743749999999997</v>
      </c>
      <c r="M692" t="str">
        <f t="shared" si="31"/>
        <v>Tuesday</v>
      </c>
      <c r="N692" t="str">
        <f t="shared" si="32"/>
        <v>Medium</v>
      </c>
    </row>
    <row r="693" spans="1:14" x14ac:dyDescent="0.35">
      <c r="A693">
        <v>1471989147</v>
      </c>
      <c r="B693" s="1">
        <v>42605</v>
      </c>
      <c r="C693" t="s">
        <v>11</v>
      </c>
      <c r="D693" t="s">
        <v>17</v>
      </c>
      <c r="E693" t="s">
        <v>89</v>
      </c>
      <c r="F693" t="s">
        <v>12</v>
      </c>
      <c r="G693" t="s">
        <v>90</v>
      </c>
      <c r="H693" s="2">
        <v>28</v>
      </c>
      <c r="I693" s="2">
        <v>1</v>
      </c>
      <c r="J693" s="3">
        <v>71.25</v>
      </c>
      <c r="K693" t="s">
        <v>13</v>
      </c>
      <c r="L693" s="3">
        <f t="shared" si="30"/>
        <v>2.5446428571428572</v>
      </c>
      <c r="M693" t="str">
        <f t="shared" si="31"/>
        <v>Tuesday</v>
      </c>
      <c r="N693" t="str">
        <f t="shared" si="32"/>
        <v>Medium</v>
      </c>
    </row>
    <row r="694" spans="1:14" x14ac:dyDescent="0.35">
      <c r="A694">
        <v>1500182001</v>
      </c>
      <c r="B694" s="1">
        <v>42931</v>
      </c>
      <c r="C694" t="s">
        <v>11</v>
      </c>
      <c r="D694" t="s">
        <v>87</v>
      </c>
      <c r="E694" t="s">
        <v>89</v>
      </c>
      <c r="F694" t="s">
        <v>12</v>
      </c>
      <c r="G694" t="s">
        <v>91</v>
      </c>
      <c r="H694" s="2">
        <v>40</v>
      </c>
      <c r="I694" s="2">
        <v>1</v>
      </c>
      <c r="J694" s="3">
        <v>71.56</v>
      </c>
      <c r="K694" t="s">
        <v>13</v>
      </c>
      <c r="L694" s="3">
        <f t="shared" si="30"/>
        <v>1.7890000000000001</v>
      </c>
      <c r="M694" t="str">
        <f t="shared" si="31"/>
        <v>Saturday</v>
      </c>
      <c r="N694" t="str">
        <f t="shared" si="32"/>
        <v>Medium</v>
      </c>
    </row>
    <row r="695" spans="1:14" x14ac:dyDescent="0.35">
      <c r="A695">
        <v>1480839715</v>
      </c>
      <c r="B695" s="1">
        <v>42708</v>
      </c>
      <c r="C695" t="s">
        <v>11</v>
      </c>
      <c r="D695" t="s">
        <v>15</v>
      </c>
      <c r="E695" t="s">
        <v>89</v>
      </c>
      <c r="F695" t="s">
        <v>16</v>
      </c>
      <c r="G695" t="s">
        <v>91</v>
      </c>
      <c r="H695" s="2">
        <v>22</v>
      </c>
      <c r="I695" s="2">
        <v>1</v>
      </c>
      <c r="J695" s="3">
        <v>71.959999999999994</v>
      </c>
      <c r="K695" t="s">
        <v>13</v>
      </c>
      <c r="L695" s="3">
        <f t="shared" si="30"/>
        <v>3.2709090909090905</v>
      </c>
      <c r="M695" t="str">
        <f t="shared" si="31"/>
        <v>Sunday</v>
      </c>
      <c r="N695" t="str">
        <f t="shared" si="32"/>
        <v>Medium</v>
      </c>
    </row>
    <row r="696" spans="1:14" x14ac:dyDescent="0.35">
      <c r="A696">
        <v>1495541992</v>
      </c>
      <c r="B696" s="1">
        <v>42878</v>
      </c>
      <c r="C696" t="s">
        <v>11</v>
      </c>
      <c r="D696" t="s">
        <v>28</v>
      </c>
      <c r="E696" t="s">
        <v>89</v>
      </c>
      <c r="F696" t="s">
        <v>16</v>
      </c>
      <c r="G696" t="s">
        <v>90</v>
      </c>
      <c r="H696" s="2">
        <v>23</v>
      </c>
      <c r="I696" s="2">
        <v>1</v>
      </c>
      <c r="J696" s="3">
        <v>72.27</v>
      </c>
      <c r="K696" t="s">
        <v>13</v>
      </c>
      <c r="L696" s="3">
        <f t="shared" si="30"/>
        <v>3.1421739130434783</v>
      </c>
      <c r="M696" t="str">
        <f t="shared" si="31"/>
        <v>Tuesday</v>
      </c>
      <c r="N696" t="str">
        <f t="shared" si="32"/>
        <v>Medium</v>
      </c>
    </row>
    <row r="697" spans="1:14" x14ac:dyDescent="0.35">
      <c r="A697">
        <v>1491591668</v>
      </c>
      <c r="B697" s="1">
        <v>42832</v>
      </c>
      <c r="C697" t="s">
        <v>11</v>
      </c>
      <c r="D697" t="s">
        <v>87</v>
      </c>
      <c r="E697" t="s">
        <v>89</v>
      </c>
      <c r="F697" t="s">
        <v>16</v>
      </c>
      <c r="G697" t="s">
        <v>90</v>
      </c>
      <c r="H697" s="2">
        <v>12</v>
      </c>
      <c r="I697" s="2">
        <v>1</v>
      </c>
      <c r="J697" s="3">
        <v>72.98</v>
      </c>
      <c r="K697" t="s">
        <v>13</v>
      </c>
      <c r="L697" s="3">
        <f t="shared" si="30"/>
        <v>6.081666666666667</v>
      </c>
      <c r="M697" t="str">
        <f t="shared" si="31"/>
        <v>Friday</v>
      </c>
      <c r="N697" t="str">
        <f t="shared" si="32"/>
        <v>Medium</v>
      </c>
    </row>
    <row r="698" spans="1:14" x14ac:dyDescent="0.35">
      <c r="A698">
        <v>1492539797</v>
      </c>
      <c r="B698" s="1">
        <v>42843</v>
      </c>
      <c r="C698" t="s">
        <v>11</v>
      </c>
      <c r="D698" t="s">
        <v>87</v>
      </c>
      <c r="E698" t="s">
        <v>89</v>
      </c>
      <c r="F698" t="s">
        <v>16</v>
      </c>
      <c r="G698" t="s">
        <v>90</v>
      </c>
      <c r="H698" s="2">
        <v>16</v>
      </c>
      <c r="I698" s="2">
        <v>1</v>
      </c>
      <c r="J698" s="3">
        <v>72.98</v>
      </c>
      <c r="K698" t="s">
        <v>13</v>
      </c>
      <c r="L698" s="3">
        <f t="shared" si="30"/>
        <v>4.5612500000000002</v>
      </c>
      <c r="M698" t="str">
        <f t="shared" si="31"/>
        <v>Tuesday</v>
      </c>
      <c r="N698" t="str">
        <f t="shared" si="32"/>
        <v>Medium</v>
      </c>
    </row>
    <row r="699" spans="1:14" x14ac:dyDescent="0.35">
      <c r="A699">
        <v>1485914727</v>
      </c>
      <c r="B699" s="1">
        <v>42766</v>
      </c>
      <c r="C699" t="s">
        <v>11</v>
      </c>
      <c r="D699" t="s">
        <v>25</v>
      </c>
      <c r="E699" t="s">
        <v>89</v>
      </c>
      <c r="F699" t="s">
        <v>12</v>
      </c>
      <c r="G699" t="s">
        <v>91</v>
      </c>
      <c r="H699" s="2">
        <v>29</v>
      </c>
      <c r="I699" s="2">
        <v>1</v>
      </c>
      <c r="J699" s="3">
        <v>72.98</v>
      </c>
      <c r="K699" t="s">
        <v>13</v>
      </c>
      <c r="L699" s="3">
        <f t="shared" si="30"/>
        <v>2.5165517241379312</v>
      </c>
      <c r="M699" t="str">
        <f t="shared" si="31"/>
        <v>Tuesday</v>
      </c>
      <c r="N699" t="str">
        <f t="shared" si="32"/>
        <v>Medium</v>
      </c>
    </row>
    <row r="700" spans="1:14" x14ac:dyDescent="0.35">
      <c r="A700">
        <v>1494267757</v>
      </c>
      <c r="B700" s="1">
        <v>42863</v>
      </c>
      <c r="C700" t="s">
        <v>11</v>
      </c>
      <c r="D700" t="s">
        <v>27</v>
      </c>
      <c r="E700" t="s">
        <v>89</v>
      </c>
      <c r="F700" t="s">
        <v>16</v>
      </c>
      <c r="G700" t="s">
        <v>90</v>
      </c>
      <c r="H700" s="2">
        <v>27</v>
      </c>
      <c r="I700" s="2">
        <v>1</v>
      </c>
      <c r="J700" s="3">
        <v>73.25</v>
      </c>
      <c r="K700" t="s">
        <v>13</v>
      </c>
      <c r="L700" s="3">
        <f t="shared" si="30"/>
        <v>2.7129629629629628</v>
      </c>
      <c r="M700" t="str">
        <f t="shared" si="31"/>
        <v>Monday</v>
      </c>
      <c r="N700" t="str">
        <f t="shared" si="32"/>
        <v>Medium</v>
      </c>
    </row>
    <row r="701" spans="1:14" x14ac:dyDescent="0.35">
      <c r="A701">
        <v>1491707815</v>
      </c>
      <c r="B701" s="1">
        <v>42833</v>
      </c>
      <c r="C701" t="s">
        <v>11</v>
      </c>
      <c r="D701" t="s">
        <v>87</v>
      </c>
      <c r="E701" t="s">
        <v>89</v>
      </c>
      <c r="F701" t="s">
        <v>12</v>
      </c>
      <c r="G701" t="s">
        <v>90</v>
      </c>
      <c r="H701" s="2">
        <v>25</v>
      </c>
      <c r="I701" s="2">
        <v>1</v>
      </c>
      <c r="J701" s="3">
        <v>73.959999999999994</v>
      </c>
      <c r="K701" t="s">
        <v>13</v>
      </c>
      <c r="L701" s="3">
        <f t="shared" si="30"/>
        <v>2.9583999999999997</v>
      </c>
      <c r="M701" t="str">
        <f t="shared" si="31"/>
        <v>Saturday</v>
      </c>
      <c r="N701" t="str">
        <f t="shared" si="32"/>
        <v>Medium</v>
      </c>
    </row>
    <row r="702" spans="1:14" x14ac:dyDescent="0.35">
      <c r="A702">
        <v>1476728934</v>
      </c>
      <c r="B702" s="1">
        <v>42660</v>
      </c>
      <c r="C702" t="s">
        <v>11</v>
      </c>
      <c r="D702" t="s">
        <v>87</v>
      </c>
      <c r="E702" t="s">
        <v>89</v>
      </c>
      <c r="F702" t="s">
        <v>12</v>
      </c>
      <c r="G702" t="s">
        <v>91</v>
      </c>
      <c r="H702" s="2">
        <v>11</v>
      </c>
      <c r="I702" s="2">
        <v>1</v>
      </c>
      <c r="J702" s="3">
        <v>74.989999999999995</v>
      </c>
      <c r="K702" t="s">
        <v>13</v>
      </c>
      <c r="L702" s="3">
        <f t="shared" si="30"/>
        <v>6.8172727272727265</v>
      </c>
      <c r="M702" t="str">
        <f t="shared" si="31"/>
        <v>Monday</v>
      </c>
      <c r="N702" t="str">
        <f t="shared" si="32"/>
        <v>Medium</v>
      </c>
    </row>
    <row r="703" spans="1:14" x14ac:dyDescent="0.35">
      <c r="A703">
        <v>1481061656</v>
      </c>
      <c r="B703" s="1">
        <v>42710</v>
      </c>
      <c r="C703" t="s">
        <v>11</v>
      </c>
      <c r="D703" t="s">
        <v>15</v>
      </c>
      <c r="E703" t="s">
        <v>89</v>
      </c>
      <c r="F703" t="s">
        <v>12</v>
      </c>
      <c r="G703" t="s">
        <v>91</v>
      </c>
      <c r="H703" s="2">
        <v>14</v>
      </c>
      <c r="I703" s="2">
        <v>1</v>
      </c>
      <c r="J703" s="3">
        <v>74.989999999999995</v>
      </c>
      <c r="K703" t="s">
        <v>13</v>
      </c>
      <c r="L703" s="3">
        <f t="shared" si="30"/>
        <v>5.3564285714285713</v>
      </c>
      <c r="M703" t="str">
        <f t="shared" si="31"/>
        <v>Tuesday</v>
      </c>
      <c r="N703" t="str">
        <f t="shared" si="32"/>
        <v>Medium</v>
      </c>
    </row>
    <row r="704" spans="1:14" x14ac:dyDescent="0.35">
      <c r="A704">
        <v>1480821394</v>
      </c>
      <c r="B704" s="1">
        <v>42707</v>
      </c>
      <c r="C704" t="s">
        <v>11</v>
      </c>
      <c r="D704" t="s">
        <v>87</v>
      </c>
      <c r="E704" t="s">
        <v>89</v>
      </c>
      <c r="F704" t="s">
        <v>16</v>
      </c>
      <c r="G704" t="s">
        <v>91</v>
      </c>
      <c r="H704" s="2">
        <v>16</v>
      </c>
      <c r="I704" s="2">
        <v>1</v>
      </c>
      <c r="J704" s="3">
        <v>74.989999999999995</v>
      </c>
      <c r="K704" t="s">
        <v>13</v>
      </c>
      <c r="L704" s="3">
        <f t="shared" si="30"/>
        <v>4.6868749999999997</v>
      </c>
      <c r="M704" t="str">
        <f t="shared" si="31"/>
        <v>Saturday</v>
      </c>
      <c r="N704" t="str">
        <f t="shared" si="32"/>
        <v>Medium</v>
      </c>
    </row>
    <row r="705" spans="1:14" x14ac:dyDescent="0.35">
      <c r="A705">
        <v>1483538997</v>
      </c>
      <c r="B705" s="1">
        <v>42739</v>
      </c>
      <c r="C705" t="s">
        <v>11</v>
      </c>
      <c r="D705" t="s">
        <v>87</v>
      </c>
      <c r="E705" t="s">
        <v>89</v>
      </c>
      <c r="F705" t="s">
        <v>12</v>
      </c>
      <c r="G705" t="s">
        <v>91</v>
      </c>
      <c r="H705" s="2">
        <v>169</v>
      </c>
      <c r="I705" s="2">
        <v>2</v>
      </c>
      <c r="J705" s="3">
        <v>74.989999999999995</v>
      </c>
      <c r="K705" t="s">
        <v>13</v>
      </c>
      <c r="L705" s="3">
        <f t="shared" si="30"/>
        <v>0.44372781065088757</v>
      </c>
      <c r="M705" t="str">
        <f t="shared" si="31"/>
        <v>Wednesday</v>
      </c>
      <c r="N705" t="str">
        <f t="shared" si="32"/>
        <v>Medium</v>
      </c>
    </row>
    <row r="706" spans="1:14" x14ac:dyDescent="0.35">
      <c r="A706">
        <v>1478216221</v>
      </c>
      <c r="B706" s="1">
        <v>42677</v>
      </c>
      <c r="C706" t="s">
        <v>11</v>
      </c>
      <c r="D706" t="s">
        <v>87</v>
      </c>
      <c r="E706" t="s">
        <v>89</v>
      </c>
      <c r="F706" t="s">
        <v>12</v>
      </c>
      <c r="G706" t="s">
        <v>91</v>
      </c>
      <c r="H706" s="2">
        <v>11</v>
      </c>
      <c r="I706" s="2">
        <v>1</v>
      </c>
      <c r="J706" s="3">
        <v>74.989999999999995</v>
      </c>
      <c r="K706" t="s">
        <v>13</v>
      </c>
      <c r="L706" s="3">
        <f t="shared" si="30"/>
        <v>6.8172727272727265</v>
      </c>
      <c r="M706" t="str">
        <f t="shared" si="31"/>
        <v>Thursday</v>
      </c>
      <c r="N706" t="str">
        <f t="shared" si="32"/>
        <v>Medium</v>
      </c>
    </row>
    <row r="707" spans="1:14" x14ac:dyDescent="0.35">
      <c r="A707">
        <v>1474341988</v>
      </c>
      <c r="B707" s="1">
        <v>42632</v>
      </c>
      <c r="C707" t="s">
        <v>11</v>
      </c>
      <c r="D707" t="s">
        <v>57</v>
      </c>
      <c r="E707" t="s">
        <v>89</v>
      </c>
      <c r="F707" t="s">
        <v>12</v>
      </c>
      <c r="G707" t="s">
        <v>90</v>
      </c>
      <c r="H707" s="2">
        <v>19</v>
      </c>
      <c r="I707" s="2">
        <v>1</v>
      </c>
      <c r="J707" s="3">
        <v>76.930000000000007</v>
      </c>
      <c r="K707" t="s">
        <v>13</v>
      </c>
      <c r="L707" s="3">
        <f t="shared" ref="L707:L770" si="33">J707/H707</f>
        <v>4.0489473684210529</v>
      </c>
      <c r="M707" t="str">
        <f t="shared" ref="M707:M770" si="34">TEXT(B707, "dddd")</f>
        <v>Monday</v>
      </c>
      <c r="N707" t="str">
        <f t="shared" ref="N707:N770" si="35">IF(J707&gt;200,"High",IF(J707&gt;=20,"Medium","Low"))</f>
        <v>Medium</v>
      </c>
    </row>
    <row r="708" spans="1:14" x14ac:dyDescent="0.35">
      <c r="A708">
        <v>1490571224</v>
      </c>
      <c r="B708" s="1">
        <v>42820</v>
      </c>
      <c r="C708" t="s">
        <v>11</v>
      </c>
      <c r="D708" t="s">
        <v>87</v>
      </c>
      <c r="E708" t="s">
        <v>89</v>
      </c>
      <c r="F708" t="s">
        <v>12</v>
      </c>
      <c r="G708" t="s">
        <v>90</v>
      </c>
      <c r="H708" s="2">
        <v>21</v>
      </c>
      <c r="I708" s="2">
        <v>1</v>
      </c>
      <c r="J708" s="3">
        <v>76.989999999999995</v>
      </c>
      <c r="K708" t="s">
        <v>13</v>
      </c>
      <c r="L708" s="3">
        <f t="shared" si="33"/>
        <v>3.6661904761904758</v>
      </c>
      <c r="M708" t="str">
        <f t="shared" si="34"/>
        <v>Sunday</v>
      </c>
      <c r="N708" t="str">
        <f t="shared" si="35"/>
        <v>Medium</v>
      </c>
    </row>
    <row r="709" spans="1:14" x14ac:dyDescent="0.35">
      <c r="A709">
        <v>1471633553</v>
      </c>
      <c r="B709" s="1">
        <v>42601</v>
      </c>
      <c r="C709" t="s">
        <v>11</v>
      </c>
      <c r="D709" t="s">
        <v>87</v>
      </c>
      <c r="E709" t="s">
        <v>89</v>
      </c>
      <c r="F709" t="s">
        <v>12</v>
      </c>
      <c r="G709" t="s">
        <v>91</v>
      </c>
      <c r="H709" s="2">
        <v>30</v>
      </c>
      <c r="I709" s="2">
        <v>1</v>
      </c>
      <c r="J709" s="3">
        <v>77.97</v>
      </c>
      <c r="K709" t="s">
        <v>13</v>
      </c>
      <c r="L709" s="3">
        <f t="shared" si="33"/>
        <v>2.5989999999999998</v>
      </c>
      <c r="M709" t="str">
        <f t="shared" si="34"/>
        <v>Friday</v>
      </c>
      <c r="N709" t="str">
        <f t="shared" si="35"/>
        <v>Medium</v>
      </c>
    </row>
    <row r="710" spans="1:14" x14ac:dyDescent="0.35">
      <c r="A710">
        <v>1488304866</v>
      </c>
      <c r="B710" s="1">
        <v>42794</v>
      </c>
      <c r="C710" t="s">
        <v>11</v>
      </c>
      <c r="D710" t="s">
        <v>15</v>
      </c>
      <c r="E710" t="s">
        <v>89</v>
      </c>
      <c r="F710" t="s">
        <v>12</v>
      </c>
      <c r="G710" t="s">
        <v>90</v>
      </c>
      <c r="H710" s="2">
        <v>50</v>
      </c>
      <c r="I710" s="2">
        <v>1</v>
      </c>
      <c r="J710" s="3">
        <v>78.27</v>
      </c>
      <c r="K710" t="s">
        <v>13</v>
      </c>
      <c r="L710" s="3">
        <f t="shared" si="33"/>
        <v>1.5653999999999999</v>
      </c>
      <c r="M710" t="str">
        <f t="shared" si="34"/>
        <v>Tuesday</v>
      </c>
      <c r="N710" t="str">
        <f t="shared" si="35"/>
        <v>Medium</v>
      </c>
    </row>
    <row r="711" spans="1:14" x14ac:dyDescent="0.35">
      <c r="A711">
        <v>1481161445</v>
      </c>
      <c r="B711" s="1">
        <v>42711</v>
      </c>
      <c r="C711" t="s">
        <v>11</v>
      </c>
      <c r="D711" t="s">
        <v>87</v>
      </c>
      <c r="E711" t="s">
        <v>89</v>
      </c>
      <c r="F711" t="s">
        <v>12</v>
      </c>
      <c r="G711" t="s">
        <v>91</v>
      </c>
      <c r="H711" s="2">
        <v>35</v>
      </c>
      <c r="I711" s="2">
        <v>1</v>
      </c>
      <c r="J711" s="3">
        <v>78.94</v>
      </c>
      <c r="K711" t="s">
        <v>13</v>
      </c>
      <c r="L711" s="3">
        <f t="shared" si="33"/>
        <v>2.2554285714285713</v>
      </c>
      <c r="M711" t="str">
        <f t="shared" si="34"/>
        <v>Wednesday</v>
      </c>
      <c r="N711" t="str">
        <f t="shared" si="35"/>
        <v>Medium</v>
      </c>
    </row>
    <row r="712" spans="1:14" x14ac:dyDescent="0.35">
      <c r="A712">
        <v>1477275044</v>
      </c>
      <c r="B712" s="1">
        <v>42666</v>
      </c>
      <c r="C712" t="s">
        <v>40</v>
      </c>
      <c r="D712" t="s">
        <v>47</v>
      </c>
      <c r="E712" t="s">
        <v>89</v>
      </c>
      <c r="F712" t="s">
        <v>12</v>
      </c>
      <c r="G712" t="s">
        <v>91</v>
      </c>
      <c r="H712" s="2">
        <v>51</v>
      </c>
      <c r="I712" s="2">
        <v>1</v>
      </c>
      <c r="J712" s="3">
        <v>78.95</v>
      </c>
      <c r="K712" t="s">
        <v>13</v>
      </c>
      <c r="L712" s="3">
        <f t="shared" si="33"/>
        <v>1.5480392156862746</v>
      </c>
      <c r="M712" t="str">
        <f t="shared" si="34"/>
        <v>Sunday</v>
      </c>
      <c r="N712" t="str">
        <f t="shared" si="35"/>
        <v>Medium</v>
      </c>
    </row>
    <row r="713" spans="1:14" x14ac:dyDescent="0.35">
      <c r="A713">
        <v>1500907610</v>
      </c>
      <c r="B713" s="1">
        <v>42940</v>
      </c>
      <c r="C713" t="s">
        <v>81</v>
      </c>
      <c r="D713" t="s">
        <v>87</v>
      </c>
      <c r="E713" t="s">
        <v>89</v>
      </c>
      <c r="F713" t="s">
        <v>16</v>
      </c>
      <c r="G713" t="s">
        <v>90</v>
      </c>
      <c r="H713" s="2">
        <v>60</v>
      </c>
      <c r="I713" s="2">
        <v>1</v>
      </c>
      <c r="J713" s="3">
        <v>79.16</v>
      </c>
      <c r="K713" t="s">
        <v>13</v>
      </c>
      <c r="L713" s="3">
        <f t="shared" si="33"/>
        <v>1.3193333333333332</v>
      </c>
      <c r="M713" t="str">
        <f t="shared" si="34"/>
        <v>Monday</v>
      </c>
      <c r="N713" t="str">
        <f t="shared" si="35"/>
        <v>Medium</v>
      </c>
    </row>
    <row r="714" spans="1:14" x14ac:dyDescent="0.35">
      <c r="A714">
        <v>1500396244</v>
      </c>
      <c r="B714" s="1">
        <v>42934</v>
      </c>
      <c r="C714" t="s">
        <v>11</v>
      </c>
      <c r="D714" t="s">
        <v>87</v>
      </c>
      <c r="E714" t="s">
        <v>89</v>
      </c>
      <c r="F714" t="s">
        <v>16</v>
      </c>
      <c r="G714" t="s">
        <v>91</v>
      </c>
      <c r="H714" s="2">
        <v>37</v>
      </c>
      <c r="I714" s="2">
        <v>1</v>
      </c>
      <c r="J714" s="3">
        <v>79.67</v>
      </c>
      <c r="K714" t="s">
        <v>13</v>
      </c>
      <c r="L714" s="3">
        <f t="shared" si="33"/>
        <v>2.1532432432432431</v>
      </c>
      <c r="M714" t="str">
        <f t="shared" si="34"/>
        <v>Tuesday</v>
      </c>
      <c r="N714" t="str">
        <f t="shared" si="35"/>
        <v>Medium</v>
      </c>
    </row>
    <row r="715" spans="1:14" x14ac:dyDescent="0.35">
      <c r="A715">
        <v>1498515155</v>
      </c>
      <c r="B715" s="1">
        <v>42912</v>
      </c>
      <c r="C715" t="s">
        <v>11</v>
      </c>
      <c r="D715" t="s">
        <v>88</v>
      </c>
      <c r="E715" t="s">
        <v>89</v>
      </c>
      <c r="F715" t="s">
        <v>12</v>
      </c>
      <c r="G715" t="s">
        <v>91</v>
      </c>
      <c r="H715" s="2">
        <v>25</v>
      </c>
      <c r="I715" s="2">
        <v>1</v>
      </c>
      <c r="J715" s="3">
        <v>79.930000000000007</v>
      </c>
      <c r="K715" t="s">
        <v>13</v>
      </c>
      <c r="L715" s="3">
        <f t="shared" si="33"/>
        <v>3.1972000000000005</v>
      </c>
      <c r="M715" t="str">
        <f t="shared" si="34"/>
        <v>Monday</v>
      </c>
      <c r="N715" t="str">
        <f t="shared" si="35"/>
        <v>Medium</v>
      </c>
    </row>
    <row r="716" spans="1:14" x14ac:dyDescent="0.35">
      <c r="A716">
        <v>1481289198</v>
      </c>
      <c r="B716" s="1">
        <v>42713</v>
      </c>
      <c r="C716" t="s">
        <v>11</v>
      </c>
      <c r="D716" t="s">
        <v>87</v>
      </c>
      <c r="E716" t="s">
        <v>89</v>
      </c>
      <c r="F716" t="s">
        <v>12</v>
      </c>
      <c r="G716" t="s">
        <v>91</v>
      </c>
      <c r="H716" s="2">
        <v>30</v>
      </c>
      <c r="I716" s="2">
        <v>1</v>
      </c>
      <c r="J716" s="3">
        <v>79.959999999999994</v>
      </c>
      <c r="K716" t="s">
        <v>13</v>
      </c>
      <c r="L716" s="3">
        <f t="shared" si="33"/>
        <v>2.6653333333333333</v>
      </c>
      <c r="M716" t="str">
        <f t="shared" si="34"/>
        <v>Friday</v>
      </c>
      <c r="N716" t="str">
        <f t="shared" si="35"/>
        <v>Medium</v>
      </c>
    </row>
    <row r="717" spans="1:14" x14ac:dyDescent="0.35">
      <c r="A717">
        <v>1485369774</v>
      </c>
      <c r="B717" s="1">
        <v>42760</v>
      </c>
      <c r="C717" t="s">
        <v>11</v>
      </c>
      <c r="D717" t="s">
        <v>27</v>
      </c>
      <c r="E717" t="s">
        <v>89</v>
      </c>
      <c r="F717" t="s">
        <v>12</v>
      </c>
      <c r="G717" t="s">
        <v>91</v>
      </c>
      <c r="H717" s="2">
        <v>17</v>
      </c>
      <c r="I717" s="2">
        <v>1</v>
      </c>
      <c r="J717" s="3">
        <v>79.98</v>
      </c>
      <c r="K717" t="s">
        <v>13</v>
      </c>
      <c r="L717" s="3">
        <f t="shared" si="33"/>
        <v>4.7047058823529415</v>
      </c>
      <c r="M717" t="str">
        <f t="shared" si="34"/>
        <v>Wednesday</v>
      </c>
      <c r="N717" t="str">
        <f t="shared" si="35"/>
        <v>Medium</v>
      </c>
    </row>
    <row r="718" spans="1:14" x14ac:dyDescent="0.35">
      <c r="A718">
        <v>1480918675</v>
      </c>
      <c r="B718" s="1">
        <v>42708</v>
      </c>
      <c r="C718" t="s">
        <v>11</v>
      </c>
      <c r="D718" t="s">
        <v>87</v>
      </c>
      <c r="E718" t="s">
        <v>89</v>
      </c>
      <c r="F718" t="s">
        <v>12</v>
      </c>
      <c r="G718" t="s">
        <v>91</v>
      </c>
      <c r="H718" s="2">
        <v>20</v>
      </c>
      <c r="I718" s="2">
        <v>1</v>
      </c>
      <c r="J718" s="3">
        <v>80.92</v>
      </c>
      <c r="K718" t="s">
        <v>13</v>
      </c>
      <c r="L718" s="3">
        <f t="shared" si="33"/>
        <v>4.0460000000000003</v>
      </c>
      <c r="M718" t="str">
        <f t="shared" si="34"/>
        <v>Sunday</v>
      </c>
      <c r="N718" t="str">
        <f t="shared" si="35"/>
        <v>Medium</v>
      </c>
    </row>
    <row r="719" spans="1:14" x14ac:dyDescent="0.35">
      <c r="A719">
        <v>1480965474</v>
      </c>
      <c r="B719" s="1">
        <v>42709</v>
      </c>
      <c r="C719" t="s">
        <v>11</v>
      </c>
      <c r="D719" t="s">
        <v>75</v>
      </c>
      <c r="E719" t="s">
        <v>89</v>
      </c>
      <c r="F719" t="s">
        <v>16</v>
      </c>
      <c r="G719" t="s">
        <v>91</v>
      </c>
      <c r="H719" s="2">
        <v>32</v>
      </c>
      <c r="I719" s="2">
        <v>1</v>
      </c>
      <c r="J719" s="3">
        <v>80.959999999999994</v>
      </c>
      <c r="K719" t="s">
        <v>13</v>
      </c>
      <c r="L719" s="3">
        <f t="shared" si="33"/>
        <v>2.5299999999999998</v>
      </c>
      <c r="M719" t="str">
        <f t="shared" si="34"/>
        <v>Monday</v>
      </c>
      <c r="N719" t="str">
        <f t="shared" si="35"/>
        <v>Medium</v>
      </c>
    </row>
    <row r="720" spans="1:14" x14ac:dyDescent="0.35">
      <c r="A720">
        <v>1501474532</v>
      </c>
      <c r="B720" s="1">
        <v>42946</v>
      </c>
      <c r="C720" t="s">
        <v>40</v>
      </c>
      <c r="D720" t="s">
        <v>87</v>
      </c>
      <c r="E720" t="s">
        <v>89</v>
      </c>
      <c r="F720" t="s">
        <v>12</v>
      </c>
      <c r="G720" t="s">
        <v>90</v>
      </c>
      <c r="H720" s="2">
        <v>73</v>
      </c>
      <c r="I720" s="2">
        <v>1</v>
      </c>
      <c r="J720" s="3">
        <v>81.47</v>
      </c>
      <c r="K720" t="s">
        <v>13</v>
      </c>
      <c r="L720" s="3">
        <f t="shared" si="33"/>
        <v>1.1160273972602739</v>
      </c>
      <c r="M720" t="str">
        <f t="shared" si="34"/>
        <v>Sunday</v>
      </c>
      <c r="N720" t="str">
        <f t="shared" si="35"/>
        <v>Medium</v>
      </c>
    </row>
    <row r="721" spans="1:14" x14ac:dyDescent="0.35">
      <c r="A721">
        <v>1481251623</v>
      </c>
      <c r="B721" s="1">
        <v>42712</v>
      </c>
      <c r="C721" t="s">
        <v>11</v>
      </c>
      <c r="D721" t="s">
        <v>18</v>
      </c>
      <c r="E721" t="s">
        <v>89</v>
      </c>
      <c r="F721" t="s">
        <v>16</v>
      </c>
      <c r="G721" t="s">
        <v>91</v>
      </c>
      <c r="H721" s="2">
        <v>24</v>
      </c>
      <c r="I721" s="2">
        <v>1</v>
      </c>
      <c r="J721" s="3">
        <v>81.900000000000006</v>
      </c>
      <c r="K721" t="s">
        <v>13</v>
      </c>
      <c r="L721" s="3">
        <f t="shared" si="33"/>
        <v>3.4125000000000001</v>
      </c>
      <c r="M721" t="str">
        <f t="shared" si="34"/>
        <v>Thursday</v>
      </c>
      <c r="N721" t="str">
        <f t="shared" si="35"/>
        <v>Medium</v>
      </c>
    </row>
    <row r="722" spans="1:14" x14ac:dyDescent="0.35">
      <c r="A722">
        <v>1487373098</v>
      </c>
      <c r="B722" s="1">
        <v>42783</v>
      </c>
      <c r="C722" t="s">
        <v>11</v>
      </c>
      <c r="D722" t="s">
        <v>28</v>
      </c>
      <c r="E722" t="s">
        <v>89</v>
      </c>
      <c r="F722" t="s">
        <v>12</v>
      </c>
      <c r="G722" t="s">
        <v>90</v>
      </c>
      <c r="H722" s="2">
        <v>17</v>
      </c>
      <c r="I722" s="2">
        <v>1</v>
      </c>
      <c r="J722" s="3">
        <v>83.98</v>
      </c>
      <c r="K722" t="s">
        <v>13</v>
      </c>
      <c r="L722" s="3">
        <f t="shared" si="33"/>
        <v>4.9400000000000004</v>
      </c>
      <c r="M722" t="str">
        <f t="shared" si="34"/>
        <v>Friday</v>
      </c>
      <c r="N722" t="str">
        <f t="shared" si="35"/>
        <v>Medium</v>
      </c>
    </row>
    <row r="723" spans="1:14" x14ac:dyDescent="0.35">
      <c r="A723">
        <v>1495865985</v>
      </c>
      <c r="B723" s="1">
        <v>42881</v>
      </c>
      <c r="C723" t="s">
        <v>11</v>
      </c>
      <c r="D723" t="s">
        <v>87</v>
      </c>
      <c r="E723" t="s">
        <v>89</v>
      </c>
      <c r="F723" t="s">
        <v>16</v>
      </c>
      <c r="G723" t="s">
        <v>91</v>
      </c>
      <c r="H723" s="2">
        <v>34</v>
      </c>
      <c r="I723" s="2">
        <v>1</v>
      </c>
      <c r="J723" s="3">
        <v>84.06</v>
      </c>
      <c r="K723" t="s">
        <v>13</v>
      </c>
      <c r="L723" s="3">
        <f t="shared" si="33"/>
        <v>2.4723529411764709</v>
      </c>
      <c r="M723" t="str">
        <f t="shared" si="34"/>
        <v>Friday</v>
      </c>
      <c r="N723" t="str">
        <f t="shared" si="35"/>
        <v>Medium</v>
      </c>
    </row>
    <row r="724" spans="1:14" x14ac:dyDescent="0.35">
      <c r="A724">
        <v>1500440588</v>
      </c>
      <c r="B724" s="1">
        <v>42934</v>
      </c>
      <c r="C724" t="s">
        <v>11</v>
      </c>
      <c r="D724" t="s">
        <v>87</v>
      </c>
      <c r="E724" t="s">
        <v>89</v>
      </c>
      <c r="F724" t="s">
        <v>16</v>
      </c>
      <c r="G724" t="s">
        <v>90</v>
      </c>
      <c r="H724" s="2">
        <v>26</v>
      </c>
      <c r="I724" s="2">
        <v>1</v>
      </c>
      <c r="J724" s="3">
        <v>84.68</v>
      </c>
      <c r="K724" t="s">
        <v>13</v>
      </c>
      <c r="L724" s="3">
        <f t="shared" si="33"/>
        <v>3.2569230769230773</v>
      </c>
      <c r="M724" t="str">
        <f t="shared" si="34"/>
        <v>Tuesday</v>
      </c>
      <c r="N724" t="str">
        <f t="shared" si="35"/>
        <v>Medium</v>
      </c>
    </row>
    <row r="725" spans="1:14" x14ac:dyDescent="0.35">
      <c r="A725">
        <v>1484719843</v>
      </c>
      <c r="B725" s="1">
        <v>42752</v>
      </c>
      <c r="C725" t="s">
        <v>11</v>
      </c>
      <c r="D725" t="s">
        <v>87</v>
      </c>
      <c r="E725" t="s">
        <v>89</v>
      </c>
      <c r="F725" t="s">
        <v>12</v>
      </c>
      <c r="G725" t="s">
        <v>91</v>
      </c>
      <c r="H725" s="2">
        <v>37</v>
      </c>
      <c r="I725" s="2">
        <v>1</v>
      </c>
      <c r="J725" s="3">
        <v>84.92</v>
      </c>
      <c r="K725" t="s">
        <v>13</v>
      </c>
      <c r="L725" s="3">
        <f t="shared" si="33"/>
        <v>2.2951351351351352</v>
      </c>
      <c r="M725" t="str">
        <f t="shared" si="34"/>
        <v>Tuesday</v>
      </c>
      <c r="N725" t="str">
        <f t="shared" si="35"/>
        <v>Medium</v>
      </c>
    </row>
    <row r="726" spans="1:14" x14ac:dyDescent="0.35">
      <c r="A726">
        <v>1488511939</v>
      </c>
      <c r="B726" s="1">
        <v>42796</v>
      </c>
      <c r="C726" t="s">
        <v>11</v>
      </c>
      <c r="D726" t="s">
        <v>82</v>
      </c>
      <c r="E726" t="s">
        <v>89</v>
      </c>
      <c r="F726" t="s">
        <v>16</v>
      </c>
      <c r="G726" t="s">
        <v>90</v>
      </c>
      <c r="H726" s="2">
        <v>36</v>
      </c>
      <c r="I726" s="2">
        <v>1</v>
      </c>
      <c r="J726" s="3">
        <v>84.97</v>
      </c>
      <c r="K726" t="s">
        <v>13</v>
      </c>
      <c r="L726" s="3">
        <f t="shared" si="33"/>
        <v>2.3602777777777777</v>
      </c>
      <c r="M726" t="str">
        <f t="shared" si="34"/>
        <v>Thursday</v>
      </c>
      <c r="N726" t="str">
        <f t="shared" si="35"/>
        <v>Medium</v>
      </c>
    </row>
    <row r="727" spans="1:14" x14ac:dyDescent="0.35">
      <c r="A727">
        <v>1482196276</v>
      </c>
      <c r="B727" s="1">
        <v>42723</v>
      </c>
      <c r="C727" t="s">
        <v>11</v>
      </c>
      <c r="D727" t="s">
        <v>87</v>
      </c>
      <c r="E727" t="s">
        <v>89</v>
      </c>
      <c r="F727" t="s">
        <v>12</v>
      </c>
      <c r="G727" t="s">
        <v>91</v>
      </c>
      <c r="H727" s="2">
        <v>37</v>
      </c>
      <c r="I727" s="2">
        <v>1</v>
      </c>
      <c r="J727" s="3">
        <v>87.09</v>
      </c>
      <c r="K727" t="s">
        <v>13</v>
      </c>
      <c r="L727" s="3">
        <f t="shared" si="33"/>
        <v>2.3537837837837841</v>
      </c>
      <c r="M727" t="str">
        <f t="shared" si="34"/>
        <v>Monday</v>
      </c>
      <c r="N727" t="str">
        <f t="shared" si="35"/>
        <v>Medium</v>
      </c>
    </row>
    <row r="728" spans="1:14" x14ac:dyDescent="0.35">
      <c r="A728">
        <v>1499966251</v>
      </c>
      <c r="B728" s="1">
        <v>42929</v>
      </c>
      <c r="C728" t="s">
        <v>11</v>
      </c>
      <c r="D728" t="s">
        <v>87</v>
      </c>
      <c r="E728" t="s">
        <v>89</v>
      </c>
      <c r="F728" t="s">
        <v>16</v>
      </c>
      <c r="G728" t="s">
        <v>90</v>
      </c>
      <c r="H728" s="2">
        <v>33</v>
      </c>
      <c r="I728" s="2">
        <v>1</v>
      </c>
      <c r="J728" s="3">
        <v>87.44</v>
      </c>
      <c r="K728" t="s">
        <v>13</v>
      </c>
      <c r="L728" s="3">
        <f t="shared" si="33"/>
        <v>2.6496969696969694</v>
      </c>
      <c r="M728" t="str">
        <f t="shared" si="34"/>
        <v>Thursday</v>
      </c>
      <c r="N728" t="str">
        <f t="shared" si="35"/>
        <v>Medium</v>
      </c>
    </row>
    <row r="729" spans="1:14" x14ac:dyDescent="0.35">
      <c r="A729">
        <v>1492040555</v>
      </c>
      <c r="B729" s="1">
        <v>42837</v>
      </c>
      <c r="C729" t="s">
        <v>11</v>
      </c>
      <c r="D729" t="s">
        <v>87</v>
      </c>
      <c r="E729" t="s">
        <v>89</v>
      </c>
      <c r="F729" t="s">
        <v>12</v>
      </c>
      <c r="G729" t="s">
        <v>90</v>
      </c>
      <c r="H729" s="2">
        <v>13</v>
      </c>
      <c r="I729" s="2">
        <v>1</v>
      </c>
      <c r="J729" s="3">
        <v>87.96</v>
      </c>
      <c r="K729" t="s">
        <v>13</v>
      </c>
      <c r="L729" s="3">
        <f t="shared" si="33"/>
        <v>6.7661538461538457</v>
      </c>
      <c r="M729" t="str">
        <f t="shared" si="34"/>
        <v>Wednesday</v>
      </c>
      <c r="N729" t="str">
        <f t="shared" si="35"/>
        <v>Medium</v>
      </c>
    </row>
    <row r="730" spans="1:14" x14ac:dyDescent="0.35">
      <c r="A730">
        <v>1479782919</v>
      </c>
      <c r="B730" s="1">
        <v>42695</v>
      </c>
      <c r="C730" t="s">
        <v>11</v>
      </c>
      <c r="D730" t="s">
        <v>87</v>
      </c>
      <c r="E730" t="s">
        <v>89</v>
      </c>
      <c r="F730" t="s">
        <v>12</v>
      </c>
      <c r="G730" t="s">
        <v>91</v>
      </c>
      <c r="H730" s="2">
        <v>19</v>
      </c>
      <c r="I730" s="2">
        <v>1</v>
      </c>
      <c r="J730" s="3">
        <v>88.97</v>
      </c>
      <c r="K730" t="s">
        <v>13</v>
      </c>
      <c r="L730" s="3">
        <f t="shared" si="33"/>
        <v>4.682631578947368</v>
      </c>
      <c r="M730" t="str">
        <f t="shared" si="34"/>
        <v>Monday</v>
      </c>
      <c r="N730" t="str">
        <f t="shared" si="35"/>
        <v>Medium</v>
      </c>
    </row>
    <row r="731" spans="1:14" x14ac:dyDescent="0.35">
      <c r="A731">
        <v>1482123135</v>
      </c>
      <c r="B731" s="1">
        <v>42722</v>
      </c>
      <c r="C731" t="s">
        <v>11</v>
      </c>
      <c r="D731" t="s">
        <v>87</v>
      </c>
      <c r="E731" t="s">
        <v>89</v>
      </c>
      <c r="F731" t="s">
        <v>12</v>
      </c>
      <c r="G731" t="s">
        <v>91</v>
      </c>
      <c r="H731" s="2">
        <v>108</v>
      </c>
      <c r="I731" s="2">
        <v>1</v>
      </c>
      <c r="J731" s="3">
        <v>89.47</v>
      </c>
      <c r="K731" t="s">
        <v>13</v>
      </c>
      <c r="L731" s="3">
        <f t="shared" si="33"/>
        <v>0.8284259259259259</v>
      </c>
      <c r="M731" t="str">
        <f t="shared" si="34"/>
        <v>Sunday</v>
      </c>
      <c r="N731" t="str">
        <f t="shared" si="35"/>
        <v>Medium</v>
      </c>
    </row>
    <row r="732" spans="1:14" x14ac:dyDescent="0.35">
      <c r="A732">
        <v>1488744261</v>
      </c>
      <c r="B732" s="1">
        <v>42799</v>
      </c>
      <c r="C732" t="s">
        <v>11</v>
      </c>
      <c r="D732" t="s">
        <v>87</v>
      </c>
      <c r="E732" t="s">
        <v>89</v>
      </c>
      <c r="F732" t="s">
        <v>16</v>
      </c>
      <c r="G732" t="s">
        <v>90</v>
      </c>
      <c r="H732" s="2">
        <v>82</v>
      </c>
      <c r="I732" s="2">
        <v>1</v>
      </c>
      <c r="J732" s="3">
        <v>89.97</v>
      </c>
      <c r="K732" t="s">
        <v>13</v>
      </c>
      <c r="L732" s="3">
        <f t="shared" si="33"/>
        <v>1.0971951219512195</v>
      </c>
      <c r="M732" t="str">
        <f t="shared" si="34"/>
        <v>Sunday</v>
      </c>
      <c r="N732" t="str">
        <f t="shared" si="35"/>
        <v>Medium</v>
      </c>
    </row>
    <row r="733" spans="1:14" x14ac:dyDescent="0.35">
      <c r="A733">
        <v>1483045734</v>
      </c>
      <c r="B733" s="1">
        <v>42733</v>
      </c>
      <c r="C733" t="s">
        <v>11</v>
      </c>
      <c r="D733" t="s">
        <v>87</v>
      </c>
      <c r="E733" t="s">
        <v>89</v>
      </c>
      <c r="F733" t="s">
        <v>12</v>
      </c>
      <c r="G733" t="s">
        <v>91</v>
      </c>
      <c r="H733" s="2">
        <v>14</v>
      </c>
      <c r="I733" s="2">
        <v>1</v>
      </c>
      <c r="J733" s="3">
        <v>89.99</v>
      </c>
      <c r="K733" t="s">
        <v>13</v>
      </c>
      <c r="L733" s="3">
        <f t="shared" si="33"/>
        <v>6.4278571428571425</v>
      </c>
      <c r="M733" t="str">
        <f t="shared" si="34"/>
        <v>Thursday</v>
      </c>
      <c r="N733" t="str">
        <f t="shared" si="35"/>
        <v>Medium</v>
      </c>
    </row>
    <row r="734" spans="1:14" x14ac:dyDescent="0.35">
      <c r="A734">
        <v>1484980553</v>
      </c>
      <c r="B734" s="1">
        <v>42755</v>
      </c>
      <c r="C734" t="s">
        <v>11</v>
      </c>
      <c r="D734" t="s">
        <v>87</v>
      </c>
      <c r="E734" t="s">
        <v>89</v>
      </c>
      <c r="F734" t="s">
        <v>16</v>
      </c>
      <c r="G734" t="s">
        <v>91</v>
      </c>
      <c r="H734" s="2">
        <v>20</v>
      </c>
      <c r="I734" s="2">
        <v>1</v>
      </c>
      <c r="J734" s="3">
        <v>90.98</v>
      </c>
      <c r="K734" t="s">
        <v>13</v>
      </c>
      <c r="L734" s="3">
        <f t="shared" si="33"/>
        <v>4.5490000000000004</v>
      </c>
      <c r="M734" t="str">
        <f t="shared" si="34"/>
        <v>Friday</v>
      </c>
      <c r="N734" t="str">
        <f t="shared" si="35"/>
        <v>Medium</v>
      </c>
    </row>
    <row r="735" spans="1:14" x14ac:dyDescent="0.35">
      <c r="A735">
        <v>1500525905</v>
      </c>
      <c r="B735" s="1">
        <v>42935</v>
      </c>
      <c r="C735" t="s">
        <v>11</v>
      </c>
      <c r="D735" t="s">
        <v>15</v>
      </c>
      <c r="E735" t="s">
        <v>89</v>
      </c>
      <c r="F735" t="s">
        <v>12</v>
      </c>
      <c r="G735" t="s">
        <v>90</v>
      </c>
      <c r="H735" s="2">
        <v>24</v>
      </c>
      <c r="I735" s="2">
        <v>1</v>
      </c>
      <c r="J735" s="3">
        <v>92.46</v>
      </c>
      <c r="K735" t="s">
        <v>13</v>
      </c>
      <c r="L735" s="3">
        <f t="shared" si="33"/>
        <v>3.8524999999999996</v>
      </c>
      <c r="M735" t="str">
        <f t="shared" si="34"/>
        <v>Wednesday</v>
      </c>
      <c r="N735" t="str">
        <f t="shared" si="35"/>
        <v>Medium</v>
      </c>
    </row>
    <row r="736" spans="1:14" x14ac:dyDescent="0.35">
      <c r="A736">
        <v>1501292650</v>
      </c>
      <c r="B736" s="1">
        <v>42944</v>
      </c>
      <c r="C736" t="s">
        <v>11</v>
      </c>
      <c r="D736" t="s">
        <v>75</v>
      </c>
      <c r="E736" t="s">
        <v>89</v>
      </c>
      <c r="F736" t="s">
        <v>12</v>
      </c>
      <c r="G736" t="s">
        <v>90</v>
      </c>
      <c r="H736" s="2">
        <v>24</v>
      </c>
      <c r="I736" s="2">
        <v>1</v>
      </c>
      <c r="J736" s="3">
        <v>94.48</v>
      </c>
      <c r="K736" t="s">
        <v>13</v>
      </c>
      <c r="L736" s="3">
        <f t="shared" si="33"/>
        <v>3.936666666666667</v>
      </c>
      <c r="M736" t="str">
        <f t="shared" si="34"/>
        <v>Friday</v>
      </c>
      <c r="N736" t="str">
        <f t="shared" si="35"/>
        <v>Medium</v>
      </c>
    </row>
    <row r="737" spans="1:14" x14ac:dyDescent="0.35">
      <c r="A737">
        <v>1470634952</v>
      </c>
      <c r="B737" s="1">
        <v>42589</v>
      </c>
      <c r="C737" t="s">
        <v>11</v>
      </c>
      <c r="D737" t="s">
        <v>31</v>
      </c>
      <c r="E737" t="s">
        <v>89</v>
      </c>
      <c r="F737" t="s">
        <v>16</v>
      </c>
      <c r="G737" t="s">
        <v>90</v>
      </c>
      <c r="H737" s="2">
        <v>64</v>
      </c>
      <c r="I737" s="2">
        <v>1</v>
      </c>
      <c r="J737" s="3">
        <v>95.59</v>
      </c>
      <c r="K737" t="s">
        <v>13</v>
      </c>
      <c r="L737" s="3">
        <f t="shared" si="33"/>
        <v>1.4935937500000001</v>
      </c>
      <c r="M737" t="str">
        <f t="shared" si="34"/>
        <v>Sunday</v>
      </c>
      <c r="N737" t="str">
        <f t="shared" si="35"/>
        <v>Medium</v>
      </c>
    </row>
    <row r="738" spans="1:14" x14ac:dyDescent="0.35">
      <c r="A738">
        <v>1491002380</v>
      </c>
      <c r="B738" s="1">
        <v>42825</v>
      </c>
      <c r="C738" t="s">
        <v>11</v>
      </c>
      <c r="D738" t="s">
        <v>87</v>
      </c>
      <c r="E738" t="s">
        <v>89</v>
      </c>
      <c r="F738" t="s">
        <v>12</v>
      </c>
      <c r="G738" t="s">
        <v>90</v>
      </c>
      <c r="H738" s="2">
        <v>34</v>
      </c>
      <c r="I738" s="2">
        <v>1</v>
      </c>
      <c r="J738" s="3">
        <v>96.94</v>
      </c>
      <c r="K738" t="s">
        <v>13</v>
      </c>
      <c r="L738" s="3">
        <f t="shared" si="33"/>
        <v>2.8511764705882352</v>
      </c>
      <c r="M738" t="str">
        <f t="shared" si="34"/>
        <v>Friday</v>
      </c>
      <c r="N738" t="str">
        <f t="shared" si="35"/>
        <v>Medium</v>
      </c>
    </row>
    <row r="739" spans="1:14" x14ac:dyDescent="0.35">
      <c r="A739">
        <v>1500432438</v>
      </c>
      <c r="B739" s="1">
        <v>42934</v>
      </c>
      <c r="C739" t="s">
        <v>11</v>
      </c>
      <c r="D739" t="s">
        <v>14</v>
      </c>
      <c r="E739" t="s">
        <v>89</v>
      </c>
      <c r="F739" t="s">
        <v>16</v>
      </c>
      <c r="G739" t="s">
        <v>90</v>
      </c>
      <c r="H739" s="2">
        <v>68</v>
      </c>
      <c r="I739" s="2">
        <v>1</v>
      </c>
      <c r="J739" s="3">
        <v>99.76</v>
      </c>
      <c r="K739" t="s">
        <v>13</v>
      </c>
      <c r="L739" s="3">
        <f t="shared" si="33"/>
        <v>1.4670588235294117</v>
      </c>
      <c r="M739" t="str">
        <f t="shared" si="34"/>
        <v>Tuesday</v>
      </c>
      <c r="N739" t="str">
        <f t="shared" si="35"/>
        <v>Medium</v>
      </c>
    </row>
    <row r="740" spans="1:14" x14ac:dyDescent="0.35">
      <c r="A740">
        <v>1479156168</v>
      </c>
      <c r="B740" s="1">
        <v>42688</v>
      </c>
      <c r="C740" t="s">
        <v>11</v>
      </c>
      <c r="D740" t="s">
        <v>87</v>
      </c>
      <c r="E740" t="s">
        <v>89</v>
      </c>
      <c r="F740" t="s">
        <v>12</v>
      </c>
      <c r="G740" t="s">
        <v>91</v>
      </c>
      <c r="H740" s="2">
        <v>12</v>
      </c>
      <c r="I740" s="2">
        <v>1</v>
      </c>
      <c r="J740" s="3">
        <v>99.8</v>
      </c>
      <c r="K740" t="s">
        <v>13</v>
      </c>
      <c r="L740" s="3">
        <f t="shared" si="33"/>
        <v>8.3166666666666664</v>
      </c>
      <c r="M740" t="str">
        <f t="shared" si="34"/>
        <v>Monday</v>
      </c>
      <c r="N740" t="str">
        <f t="shared" si="35"/>
        <v>Medium</v>
      </c>
    </row>
    <row r="741" spans="1:14" x14ac:dyDescent="0.35">
      <c r="A741">
        <v>1475237477</v>
      </c>
      <c r="B741" s="1">
        <v>42643</v>
      </c>
      <c r="C741" t="s">
        <v>11</v>
      </c>
      <c r="D741" t="s">
        <v>18</v>
      </c>
      <c r="E741" t="s">
        <v>89</v>
      </c>
      <c r="F741" t="s">
        <v>12</v>
      </c>
      <c r="G741" t="s">
        <v>91</v>
      </c>
      <c r="H741" s="2">
        <v>16</v>
      </c>
      <c r="I741" s="2">
        <v>1</v>
      </c>
      <c r="J741" s="3">
        <v>99.99</v>
      </c>
      <c r="K741" t="s">
        <v>13</v>
      </c>
      <c r="L741" s="3">
        <f t="shared" si="33"/>
        <v>6.2493749999999997</v>
      </c>
      <c r="M741" t="str">
        <f t="shared" si="34"/>
        <v>Friday</v>
      </c>
      <c r="N741" t="str">
        <f t="shared" si="35"/>
        <v>Medium</v>
      </c>
    </row>
    <row r="742" spans="1:14" x14ac:dyDescent="0.35">
      <c r="A742">
        <v>1479412220</v>
      </c>
      <c r="B742" s="1">
        <v>42691</v>
      </c>
      <c r="C742" t="s">
        <v>11</v>
      </c>
      <c r="D742" t="s">
        <v>18</v>
      </c>
      <c r="E742" t="s">
        <v>89</v>
      </c>
      <c r="F742" t="s">
        <v>12</v>
      </c>
      <c r="G742" t="s">
        <v>91</v>
      </c>
      <c r="H742" s="2">
        <v>14</v>
      </c>
      <c r="I742" s="2">
        <v>1</v>
      </c>
      <c r="J742" s="3">
        <v>99.99</v>
      </c>
      <c r="K742" t="s">
        <v>13</v>
      </c>
      <c r="L742" s="3">
        <f t="shared" si="33"/>
        <v>7.1421428571428569</v>
      </c>
      <c r="M742" t="str">
        <f t="shared" si="34"/>
        <v>Thursday</v>
      </c>
      <c r="N742" t="str">
        <f t="shared" si="35"/>
        <v>Medium</v>
      </c>
    </row>
    <row r="743" spans="1:14" x14ac:dyDescent="0.35">
      <c r="A743">
        <v>1479167102</v>
      </c>
      <c r="B743" s="1">
        <v>42688</v>
      </c>
      <c r="C743" t="s">
        <v>11</v>
      </c>
      <c r="D743" t="s">
        <v>18</v>
      </c>
      <c r="E743" t="s">
        <v>89</v>
      </c>
      <c r="F743" t="s">
        <v>12</v>
      </c>
      <c r="G743" t="s">
        <v>91</v>
      </c>
      <c r="H743" s="2">
        <v>17</v>
      </c>
      <c r="I743" s="2">
        <v>1</v>
      </c>
      <c r="J743" s="3">
        <v>99.99</v>
      </c>
      <c r="K743" t="s">
        <v>13</v>
      </c>
      <c r="L743" s="3">
        <f t="shared" si="33"/>
        <v>5.881764705882353</v>
      </c>
      <c r="M743" t="str">
        <f t="shared" si="34"/>
        <v>Monday</v>
      </c>
      <c r="N743" t="str">
        <f t="shared" si="35"/>
        <v>Medium</v>
      </c>
    </row>
    <row r="744" spans="1:14" x14ac:dyDescent="0.35">
      <c r="A744">
        <v>1490483332</v>
      </c>
      <c r="B744" s="1">
        <v>42819</v>
      </c>
      <c r="C744" t="s">
        <v>11</v>
      </c>
      <c r="D744" t="s">
        <v>87</v>
      </c>
      <c r="E744" t="s">
        <v>89</v>
      </c>
      <c r="F744" t="s">
        <v>12</v>
      </c>
      <c r="G744" t="s">
        <v>90</v>
      </c>
      <c r="H744" s="2">
        <v>20</v>
      </c>
      <c r="I744" s="2">
        <v>1</v>
      </c>
      <c r="J744" s="3">
        <v>99.99</v>
      </c>
      <c r="K744" t="s">
        <v>13</v>
      </c>
      <c r="L744" s="3">
        <f t="shared" si="33"/>
        <v>4.9994999999999994</v>
      </c>
      <c r="M744" t="str">
        <f t="shared" si="34"/>
        <v>Saturday</v>
      </c>
      <c r="N744" t="str">
        <f t="shared" si="35"/>
        <v>Medium</v>
      </c>
    </row>
    <row r="745" spans="1:14" x14ac:dyDescent="0.35">
      <c r="A745">
        <v>1493415242</v>
      </c>
      <c r="B745" s="1">
        <v>42853</v>
      </c>
      <c r="C745" t="s">
        <v>11</v>
      </c>
      <c r="D745" t="s">
        <v>15</v>
      </c>
      <c r="E745" t="s">
        <v>89</v>
      </c>
      <c r="F745" t="s">
        <v>12</v>
      </c>
      <c r="G745" t="s">
        <v>90</v>
      </c>
      <c r="H745" s="2">
        <v>24</v>
      </c>
      <c r="I745" s="2">
        <v>1</v>
      </c>
      <c r="J745" s="3">
        <v>99.99</v>
      </c>
      <c r="K745" t="s">
        <v>13</v>
      </c>
      <c r="L745" s="3">
        <f t="shared" si="33"/>
        <v>4.1662499999999998</v>
      </c>
      <c r="M745" t="str">
        <f t="shared" si="34"/>
        <v>Friday</v>
      </c>
      <c r="N745" t="str">
        <f t="shared" si="35"/>
        <v>Medium</v>
      </c>
    </row>
    <row r="746" spans="1:14" x14ac:dyDescent="0.35">
      <c r="A746">
        <v>1501297342</v>
      </c>
      <c r="B746" s="1">
        <v>42944</v>
      </c>
      <c r="C746" t="s">
        <v>11</v>
      </c>
      <c r="D746" t="s">
        <v>87</v>
      </c>
      <c r="E746" t="s">
        <v>89</v>
      </c>
      <c r="F746" t="s">
        <v>12</v>
      </c>
      <c r="G746" t="s">
        <v>90</v>
      </c>
      <c r="H746" s="2">
        <v>13</v>
      </c>
      <c r="I746" s="2">
        <v>1</v>
      </c>
      <c r="J746" s="3">
        <v>99.99</v>
      </c>
      <c r="K746" t="s">
        <v>13</v>
      </c>
      <c r="L746" s="3">
        <f t="shared" si="33"/>
        <v>7.6915384615384612</v>
      </c>
      <c r="M746" t="str">
        <f t="shared" si="34"/>
        <v>Friday</v>
      </c>
      <c r="N746" t="str">
        <f t="shared" si="35"/>
        <v>Medium</v>
      </c>
    </row>
    <row r="747" spans="1:14" x14ac:dyDescent="0.35">
      <c r="A747">
        <v>1474666115</v>
      </c>
      <c r="B747" s="1">
        <v>42636</v>
      </c>
      <c r="C747" t="s">
        <v>11</v>
      </c>
      <c r="D747" t="s">
        <v>14</v>
      </c>
      <c r="E747" t="s">
        <v>89</v>
      </c>
      <c r="F747" t="s">
        <v>16</v>
      </c>
      <c r="G747" t="s">
        <v>91</v>
      </c>
      <c r="H747" s="2">
        <v>8</v>
      </c>
      <c r="I747" s="2">
        <v>1</v>
      </c>
      <c r="J747" s="3">
        <v>99.99</v>
      </c>
      <c r="K747" t="s">
        <v>13</v>
      </c>
      <c r="L747" s="3">
        <f t="shared" si="33"/>
        <v>12.498749999999999</v>
      </c>
      <c r="M747" t="str">
        <f t="shared" si="34"/>
        <v>Friday</v>
      </c>
      <c r="N747" t="str">
        <f t="shared" si="35"/>
        <v>Medium</v>
      </c>
    </row>
    <row r="748" spans="1:14" x14ac:dyDescent="0.35">
      <c r="A748">
        <v>1500523118</v>
      </c>
      <c r="B748" s="1">
        <v>42935</v>
      </c>
      <c r="C748" t="s">
        <v>11</v>
      </c>
      <c r="D748" t="s">
        <v>87</v>
      </c>
      <c r="E748" t="s">
        <v>89</v>
      </c>
      <c r="F748" t="s">
        <v>16</v>
      </c>
      <c r="G748" t="s">
        <v>90</v>
      </c>
      <c r="H748" s="2">
        <v>31</v>
      </c>
      <c r="I748" s="2">
        <v>1</v>
      </c>
      <c r="J748" s="3">
        <v>99.99</v>
      </c>
      <c r="K748" t="s">
        <v>13</v>
      </c>
      <c r="L748" s="3">
        <f t="shared" si="33"/>
        <v>3.2254838709677416</v>
      </c>
      <c r="M748" t="str">
        <f t="shared" si="34"/>
        <v>Wednesday</v>
      </c>
      <c r="N748" t="str">
        <f t="shared" si="35"/>
        <v>Medium</v>
      </c>
    </row>
    <row r="749" spans="1:14" x14ac:dyDescent="0.35">
      <c r="A749">
        <v>1476297247</v>
      </c>
      <c r="B749" s="1">
        <v>42655</v>
      </c>
      <c r="C749" t="s">
        <v>11</v>
      </c>
      <c r="D749" t="s">
        <v>58</v>
      </c>
      <c r="E749" t="s">
        <v>89</v>
      </c>
      <c r="F749" t="s">
        <v>12</v>
      </c>
      <c r="G749" t="s">
        <v>91</v>
      </c>
      <c r="H749" s="2">
        <v>12</v>
      </c>
      <c r="I749" s="2">
        <v>1</v>
      </c>
      <c r="J749" s="3">
        <v>99.99</v>
      </c>
      <c r="K749" t="s">
        <v>13</v>
      </c>
      <c r="L749" s="3">
        <f t="shared" si="33"/>
        <v>8.3324999999999996</v>
      </c>
      <c r="M749" t="str">
        <f t="shared" si="34"/>
        <v>Wednesday</v>
      </c>
      <c r="N749" t="str">
        <f t="shared" si="35"/>
        <v>Medium</v>
      </c>
    </row>
    <row r="750" spans="1:14" x14ac:dyDescent="0.35">
      <c r="A750">
        <v>1479091468</v>
      </c>
      <c r="B750" s="1">
        <v>42687</v>
      </c>
      <c r="C750" t="s">
        <v>11</v>
      </c>
      <c r="D750" t="s">
        <v>27</v>
      </c>
      <c r="E750" t="s">
        <v>89</v>
      </c>
      <c r="F750" t="s">
        <v>39</v>
      </c>
      <c r="G750" t="s">
        <v>91</v>
      </c>
      <c r="H750" s="2">
        <v>16</v>
      </c>
      <c r="I750" s="2">
        <v>1</v>
      </c>
      <c r="J750" s="3">
        <v>99.99</v>
      </c>
      <c r="K750" t="s">
        <v>13</v>
      </c>
      <c r="L750" s="3">
        <f t="shared" si="33"/>
        <v>6.2493749999999997</v>
      </c>
      <c r="M750" t="str">
        <f t="shared" si="34"/>
        <v>Sunday</v>
      </c>
      <c r="N750" t="str">
        <f t="shared" si="35"/>
        <v>Medium</v>
      </c>
    </row>
    <row r="751" spans="1:14" x14ac:dyDescent="0.35">
      <c r="A751">
        <v>1492537634</v>
      </c>
      <c r="B751" s="1">
        <v>42843</v>
      </c>
      <c r="C751" t="s">
        <v>11</v>
      </c>
      <c r="D751" t="s">
        <v>83</v>
      </c>
      <c r="E751" t="s">
        <v>89</v>
      </c>
      <c r="F751" t="s">
        <v>12</v>
      </c>
      <c r="G751" t="s">
        <v>90</v>
      </c>
      <c r="H751" s="2">
        <v>12</v>
      </c>
      <c r="I751" s="2">
        <v>1</v>
      </c>
      <c r="J751" s="3">
        <v>99.99</v>
      </c>
      <c r="K751" t="s">
        <v>13</v>
      </c>
      <c r="L751" s="3">
        <f t="shared" si="33"/>
        <v>8.3324999999999996</v>
      </c>
      <c r="M751" t="str">
        <f t="shared" si="34"/>
        <v>Tuesday</v>
      </c>
      <c r="N751" t="str">
        <f t="shared" si="35"/>
        <v>Medium</v>
      </c>
    </row>
    <row r="752" spans="1:14" x14ac:dyDescent="0.35">
      <c r="A752">
        <v>1500600029</v>
      </c>
      <c r="B752" s="1">
        <v>42936</v>
      </c>
      <c r="C752" t="s">
        <v>11</v>
      </c>
      <c r="D752" t="s">
        <v>15</v>
      </c>
      <c r="E752" t="s">
        <v>89</v>
      </c>
      <c r="F752" t="s">
        <v>16</v>
      </c>
      <c r="G752" t="s">
        <v>90</v>
      </c>
      <c r="H752" s="2">
        <v>22</v>
      </c>
      <c r="I752" s="2">
        <v>1</v>
      </c>
      <c r="J752" s="3">
        <v>99.99</v>
      </c>
      <c r="K752" t="s">
        <v>13</v>
      </c>
      <c r="L752" s="3">
        <f t="shared" si="33"/>
        <v>4.5449999999999999</v>
      </c>
      <c r="M752" t="str">
        <f t="shared" si="34"/>
        <v>Thursday</v>
      </c>
      <c r="N752" t="str">
        <f t="shared" si="35"/>
        <v>Medium</v>
      </c>
    </row>
    <row r="753" spans="1:14" x14ac:dyDescent="0.35">
      <c r="A753">
        <v>1494280012</v>
      </c>
      <c r="B753" s="1">
        <v>42863</v>
      </c>
      <c r="C753" t="s">
        <v>11</v>
      </c>
      <c r="D753" t="s">
        <v>18</v>
      </c>
      <c r="E753" t="s">
        <v>89</v>
      </c>
      <c r="F753" t="s">
        <v>16</v>
      </c>
      <c r="G753" t="s">
        <v>90</v>
      </c>
      <c r="H753" s="2">
        <v>30</v>
      </c>
      <c r="I753" s="2">
        <v>1</v>
      </c>
      <c r="J753" s="3">
        <v>99.99</v>
      </c>
      <c r="K753" t="s">
        <v>13</v>
      </c>
      <c r="L753" s="3">
        <f t="shared" si="33"/>
        <v>3.3329999999999997</v>
      </c>
      <c r="M753" t="str">
        <f t="shared" si="34"/>
        <v>Monday</v>
      </c>
      <c r="N753" t="str">
        <f t="shared" si="35"/>
        <v>Medium</v>
      </c>
    </row>
    <row r="754" spans="1:14" x14ac:dyDescent="0.35">
      <c r="A754">
        <v>1497333616</v>
      </c>
      <c r="B754" s="1">
        <v>42898</v>
      </c>
      <c r="C754" t="s">
        <v>84</v>
      </c>
      <c r="D754" t="s">
        <v>87</v>
      </c>
      <c r="E754" t="s">
        <v>89</v>
      </c>
      <c r="F754" t="s">
        <v>12</v>
      </c>
      <c r="G754" t="s">
        <v>90</v>
      </c>
      <c r="H754" s="2">
        <v>29</v>
      </c>
      <c r="I754" s="2">
        <v>1</v>
      </c>
      <c r="J754" s="3">
        <v>101.23</v>
      </c>
      <c r="K754" t="s">
        <v>13</v>
      </c>
      <c r="L754" s="3">
        <f t="shared" si="33"/>
        <v>3.4906896551724138</v>
      </c>
      <c r="M754" t="str">
        <f t="shared" si="34"/>
        <v>Monday</v>
      </c>
      <c r="N754" t="str">
        <f t="shared" si="35"/>
        <v>Medium</v>
      </c>
    </row>
    <row r="755" spans="1:14" x14ac:dyDescent="0.35">
      <c r="A755">
        <v>1475237408</v>
      </c>
      <c r="B755" s="1">
        <v>42643</v>
      </c>
      <c r="C755" t="s">
        <v>11</v>
      </c>
      <c r="D755" t="s">
        <v>85</v>
      </c>
      <c r="E755" t="s">
        <v>89</v>
      </c>
      <c r="F755" t="s">
        <v>12</v>
      </c>
      <c r="G755" t="s">
        <v>91</v>
      </c>
      <c r="H755" s="2">
        <v>31</v>
      </c>
      <c r="I755" s="2">
        <v>1</v>
      </c>
      <c r="J755" s="3">
        <v>101.95</v>
      </c>
      <c r="K755" t="s">
        <v>13</v>
      </c>
      <c r="L755" s="3">
        <f t="shared" si="33"/>
        <v>3.2887096774193547</v>
      </c>
      <c r="M755" t="str">
        <f t="shared" si="34"/>
        <v>Friday</v>
      </c>
      <c r="N755" t="str">
        <f t="shared" si="35"/>
        <v>Medium</v>
      </c>
    </row>
    <row r="756" spans="1:14" x14ac:dyDescent="0.35">
      <c r="A756">
        <v>1485760289</v>
      </c>
      <c r="B756" s="1">
        <v>42764</v>
      </c>
      <c r="C756" t="s">
        <v>11</v>
      </c>
      <c r="D756" t="s">
        <v>25</v>
      </c>
      <c r="E756" t="s">
        <v>89</v>
      </c>
      <c r="F756" t="s">
        <v>16</v>
      </c>
      <c r="G756" t="s">
        <v>92</v>
      </c>
      <c r="H756" s="2">
        <v>28</v>
      </c>
      <c r="I756" s="2">
        <v>1</v>
      </c>
      <c r="J756" s="3">
        <v>102.93</v>
      </c>
      <c r="K756" t="s">
        <v>13</v>
      </c>
      <c r="L756" s="3">
        <f t="shared" si="33"/>
        <v>3.6760714285714289</v>
      </c>
      <c r="M756" t="str">
        <f t="shared" si="34"/>
        <v>Sunday</v>
      </c>
      <c r="N756" t="str">
        <f t="shared" si="35"/>
        <v>Medium</v>
      </c>
    </row>
    <row r="757" spans="1:14" x14ac:dyDescent="0.35">
      <c r="A757">
        <v>1490392519</v>
      </c>
      <c r="B757" s="1">
        <v>42818</v>
      </c>
      <c r="C757" t="s">
        <v>11</v>
      </c>
      <c r="D757" t="s">
        <v>87</v>
      </c>
      <c r="E757" t="s">
        <v>89</v>
      </c>
      <c r="F757" t="s">
        <v>12</v>
      </c>
      <c r="G757" t="s">
        <v>90</v>
      </c>
      <c r="H757" s="2">
        <v>39</v>
      </c>
      <c r="I757" s="2">
        <v>1</v>
      </c>
      <c r="J757" s="3">
        <v>102.98</v>
      </c>
      <c r="K757" t="s">
        <v>13</v>
      </c>
      <c r="L757" s="3">
        <f t="shared" si="33"/>
        <v>2.6405128205128205</v>
      </c>
      <c r="M757" t="str">
        <f t="shared" si="34"/>
        <v>Friday</v>
      </c>
      <c r="N757" t="str">
        <f t="shared" si="35"/>
        <v>Medium</v>
      </c>
    </row>
    <row r="758" spans="1:14" x14ac:dyDescent="0.35">
      <c r="A758">
        <v>1498549692</v>
      </c>
      <c r="B758" s="1">
        <v>42913</v>
      </c>
      <c r="C758" t="s">
        <v>86</v>
      </c>
      <c r="D758" t="s">
        <v>88</v>
      </c>
      <c r="E758" t="s">
        <v>89</v>
      </c>
      <c r="F758" t="s">
        <v>16</v>
      </c>
      <c r="G758" t="s">
        <v>90</v>
      </c>
      <c r="H758" s="2">
        <v>24</v>
      </c>
      <c r="I758" s="2">
        <v>1</v>
      </c>
      <c r="J758" s="3">
        <v>103.93</v>
      </c>
      <c r="K758" t="s">
        <v>13</v>
      </c>
      <c r="L758" s="3">
        <f t="shared" si="33"/>
        <v>4.3304166666666672</v>
      </c>
      <c r="M758" t="str">
        <f t="shared" si="34"/>
        <v>Tuesday</v>
      </c>
      <c r="N758" t="str">
        <f t="shared" si="35"/>
        <v>Medium</v>
      </c>
    </row>
    <row r="759" spans="1:14" x14ac:dyDescent="0.35">
      <c r="A759">
        <v>1500116803</v>
      </c>
      <c r="B759" s="1">
        <v>42931</v>
      </c>
      <c r="C759" t="s">
        <v>11</v>
      </c>
      <c r="D759" t="s">
        <v>87</v>
      </c>
      <c r="E759" t="s">
        <v>89</v>
      </c>
      <c r="F759" t="s">
        <v>12</v>
      </c>
      <c r="G759" t="s">
        <v>91</v>
      </c>
      <c r="H759" s="2">
        <v>41</v>
      </c>
      <c r="I759" s="2">
        <v>1</v>
      </c>
      <c r="J759" s="3">
        <v>104.27</v>
      </c>
      <c r="K759" t="s">
        <v>13</v>
      </c>
      <c r="L759" s="3">
        <f t="shared" si="33"/>
        <v>2.5431707317073169</v>
      </c>
      <c r="M759" t="str">
        <f t="shared" si="34"/>
        <v>Saturday</v>
      </c>
      <c r="N759" t="str">
        <f t="shared" si="35"/>
        <v>Medium</v>
      </c>
    </row>
    <row r="760" spans="1:14" x14ac:dyDescent="0.35">
      <c r="A760">
        <v>1473205376</v>
      </c>
      <c r="B760" s="1">
        <v>42619</v>
      </c>
      <c r="C760" t="s">
        <v>11</v>
      </c>
      <c r="D760" t="s">
        <v>87</v>
      </c>
      <c r="E760" t="s">
        <v>89</v>
      </c>
      <c r="F760" t="s">
        <v>12</v>
      </c>
      <c r="G760" t="s">
        <v>90</v>
      </c>
      <c r="H760" s="2">
        <v>26</v>
      </c>
      <c r="I760" s="2">
        <v>1</v>
      </c>
      <c r="J760" s="3">
        <v>106.49</v>
      </c>
      <c r="K760" t="s">
        <v>13</v>
      </c>
      <c r="L760" s="3">
        <f t="shared" si="33"/>
        <v>4.0957692307692302</v>
      </c>
      <c r="M760" t="str">
        <f t="shared" si="34"/>
        <v>Tuesday</v>
      </c>
      <c r="N760" t="str">
        <f t="shared" si="35"/>
        <v>Medium</v>
      </c>
    </row>
    <row r="761" spans="1:14" x14ac:dyDescent="0.35">
      <c r="A761">
        <v>1471099383</v>
      </c>
      <c r="B761" s="1">
        <v>42595</v>
      </c>
      <c r="C761" t="s">
        <v>11</v>
      </c>
      <c r="D761" t="s">
        <v>87</v>
      </c>
      <c r="E761" t="s">
        <v>89</v>
      </c>
      <c r="F761" t="s">
        <v>12</v>
      </c>
      <c r="G761" t="s">
        <v>90</v>
      </c>
      <c r="H761" s="2">
        <v>48</v>
      </c>
      <c r="I761" s="2">
        <v>1</v>
      </c>
      <c r="J761" s="3">
        <v>109.45</v>
      </c>
      <c r="K761" t="s">
        <v>13</v>
      </c>
      <c r="L761" s="3">
        <f t="shared" si="33"/>
        <v>2.2802083333333334</v>
      </c>
      <c r="M761" t="str">
        <f t="shared" si="34"/>
        <v>Saturday</v>
      </c>
      <c r="N761" t="str">
        <f t="shared" si="35"/>
        <v>Medium</v>
      </c>
    </row>
    <row r="762" spans="1:14" x14ac:dyDescent="0.35">
      <c r="A762">
        <v>1491593538</v>
      </c>
      <c r="B762" s="1">
        <v>42832</v>
      </c>
      <c r="C762" t="s">
        <v>11</v>
      </c>
      <c r="D762" t="s">
        <v>87</v>
      </c>
      <c r="E762" t="s">
        <v>89</v>
      </c>
      <c r="F762" t="s">
        <v>12</v>
      </c>
      <c r="G762" t="s">
        <v>91</v>
      </c>
      <c r="H762" s="2">
        <v>11</v>
      </c>
      <c r="I762" s="2">
        <v>1</v>
      </c>
      <c r="J762" s="3">
        <v>109.98</v>
      </c>
      <c r="K762" t="s">
        <v>13</v>
      </c>
      <c r="L762" s="3">
        <f t="shared" si="33"/>
        <v>9.9981818181818181</v>
      </c>
      <c r="M762" t="str">
        <f t="shared" si="34"/>
        <v>Friday</v>
      </c>
      <c r="N762" t="str">
        <f t="shared" si="35"/>
        <v>Medium</v>
      </c>
    </row>
    <row r="763" spans="1:14" x14ac:dyDescent="0.35">
      <c r="A763">
        <v>1496330803</v>
      </c>
      <c r="B763" s="1">
        <v>42887</v>
      </c>
      <c r="C763" t="s">
        <v>11</v>
      </c>
      <c r="D763" t="s">
        <v>58</v>
      </c>
      <c r="E763" t="s">
        <v>89</v>
      </c>
      <c r="F763" t="s">
        <v>12</v>
      </c>
      <c r="G763" t="s">
        <v>91</v>
      </c>
      <c r="H763" s="2">
        <v>11</v>
      </c>
      <c r="I763" s="2">
        <v>1</v>
      </c>
      <c r="J763" s="3">
        <v>109.98</v>
      </c>
      <c r="K763" t="s">
        <v>13</v>
      </c>
      <c r="L763" s="3">
        <f t="shared" si="33"/>
        <v>9.9981818181818181</v>
      </c>
      <c r="M763" t="str">
        <f t="shared" si="34"/>
        <v>Thursday</v>
      </c>
      <c r="N763" t="str">
        <f t="shared" si="35"/>
        <v>Medium</v>
      </c>
    </row>
    <row r="764" spans="1:14" x14ac:dyDescent="0.35">
      <c r="A764">
        <v>1486231965</v>
      </c>
      <c r="B764" s="1">
        <v>42770</v>
      </c>
      <c r="C764" t="s">
        <v>11</v>
      </c>
      <c r="D764" t="s">
        <v>87</v>
      </c>
      <c r="E764" t="s">
        <v>89</v>
      </c>
      <c r="F764" t="s">
        <v>12</v>
      </c>
      <c r="G764" t="s">
        <v>91</v>
      </c>
      <c r="H764" s="2">
        <v>30</v>
      </c>
      <c r="I764" s="2">
        <v>1</v>
      </c>
      <c r="J764" s="3">
        <v>109.99</v>
      </c>
      <c r="K764" t="s">
        <v>13</v>
      </c>
      <c r="L764" s="3">
        <f t="shared" si="33"/>
        <v>3.6663333333333332</v>
      </c>
      <c r="M764" t="str">
        <f t="shared" si="34"/>
        <v>Saturday</v>
      </c>
      <c r="N764" t="str">
        <f t="shared" si="35"/>
        <v>Medium</v>
      </c>
    </row>
    <row r="765" spans="1:14" x14ac:dyDescent="0.35">
      <c r="A765">
        <v>1480906875</v>
      </c>
      <c r="B765" s="1">
        <v>42708</v>
      </c>
      <c r="C765" t="s">
        <v>11</v>
      </c>
      <c r="D765" t="s">
        <v>15</v>
      </c>
      <c r="E765" t="s">
        <v>89</v>
      </c>
      <c r="F765" t="s">
        <v>12</v>
      </c>
      <c r="G765" t="s">
        <v>91</v>
      </c>
      <c r="H765" s="2">
        <v>17</v>
      </c>
      <c r="I765" s="2">
        <v>1</v>
      </c>
      <c r="J765" s="3">
        <v>109.99</v>
      </c>
      <c r="K765" t="s">
        <v>13</v>
      </c>
      <c r="L765" s="3">
        <f t="shared" si="33"/>
        <v>6.47</v>
      </c>
      <c r="M765" t="str">
        <f t="shared" si="34"/>
        <v>Sunday</v>
      </c>
      <c r="N765" t="str">
        <f t="shared" si="35"/>
        <v>Medium</v>
      </c>
    </row>
    <row r="766" spans="1:14" x14ac:dyDescent="0.35">
      <c r="A766">
        <v>1484627305</v>
      </c>
      <c r="B766" s="1">
        <v>42751</v>
      </c>
      <c r="C766" t="s">
        <v>11</v>
      </c>
      <c r="D766" t="s">
        <v>14</v>
      </c>
      <c r="E766" t="s">
        <v>89</v>
      </c>
      <c r="F766" t="s">
        <v>16</v>
      </c>
      <c r="G766" t="s">
        <v>91</v>
      </c>
      <c r="H766" s="2">
        <v>39</v>
      </c>
      <c r="I766" s="2">
        <v>1</v>
      </c>
      <c r="J766" s="3">
        <v>110.97</v>
      </c>
      <c r="K766" t="s">
        <v>13</v>
      </c>
      <c r="L766" s="3">
        <f t="shared" si="33"/>
        <v>2.8453846153846154</v>
      </c>
      <c r="M766" t="str">
        <f t="shared" si="34"/>
        <v>Monday</v>
      </c>
      <c r="N766" t="str">
        <f t="shared" si="35"/>
        <v>Medium</v>
      </c>
    </row>
    <row r="767" spans="1:14" x14ac:dyDescent="0.35">
      <c r="A767">
        <v>1491311638</v>
      </c>
      <c r="B767" s="1">
        <v>42829</v>
      </c>
      <c r="C767" t="s">
        <v>11</v>
      </c>
      <c r="D767" t="s">
        <v>38</v>
      </c>
      <c r="E767" t="s">
        <v>89</v>
      </c>
      <c r="F767" t="s">
        <v>12</v>
      </c>
      <c r="G767" t="s">
        <v>90</v>
      </c>
      <c r="H767" s="2">
        <v>22</v>
      </c>
      <c r="I767" s="2">
        <v>1</v>
      </c>
      <c r="J767" s="3">
        <v>110.98</v>
      </c>
      <c r="K767" t="s">
        <v>13</v>
      </c>
      <c r="L767" s="3">
        <f t="shared" si="33"/>
        <v>5.0445454545454549</v>
      </c>
      <c r="M767" t="str">
        <f t="shared" si="34"/>
        <v>Tuesday</v>
      </c>
      <c r="N767" t="str">
        <f t="shared" si="35"/>
        <v>Medium</v>
      </c>
    </row>
    <row r="768" spans="1:14" x14ac:dyDescent="0.35">
      <c r="A768">
        <v>1477745041</v>
      </c>
      <c r="B768" s="1">
        <v>42672</v>
      </c>
      <c r="C768" t="s">
        <v>11</v>
      </c>
      <c r="D768" t="s">
        <v>25</v>
      </c>
      <c r="E768" t="s">
        <v>89</v>
      </c>
      <c r="F768" t="s">
        <v>16</v>
      </c>
      <c r="G768" t="s">
        <v>91</v>
      </c>
      <c r="H768" s="2">
        <v>33</v>
      </c>
      <c r="I768" s="2">
        <v>1</v>
      </c>
      <c r="J768" s="3">
        <v>114.68</v>
      </c>
      <c r="K768" t="s">
        <v>13</v>
      </c>
      <c r="L768" s="3">
        <f t="shared" si="33"/>
        <v>3.4751515151515155</v>
      </c>
      <c r="M768" t="str">
        <f t="shared" si="34"/>
        <v>Saturday</v>
      </c>
      <c r="N768" t="str">
        <f t="shared" si="35"/>
        <v>Medium</v>
      </c>
    </row>
    <row r="769" spans="1:14" x14ac:dyDescent="0.35">
      <c r="A769">
        <v>1486506278</v>
      </c>
      <c r="B769" s="1">
        <v>42773</v>
      </c>
      <c r="C769" t="s">
        <v>11</v>
      </c>
      <c r="D769" t="s">
        <v>87</v>
      </c>
      <c r="E769" t="s">
        <v>89</v>
      </c>
      <c r="F769" t="s">
        <v>12</v>
      </c>
      <c r="G769" t="s">
        <v>91</v>
      </c>
      <c r="H769" s="2">
        <v>33</v>
      </c>
      <c r="I769" s="2">
        <v>1</v>
      </c>
      <c r="J769" s="3">
        <v>114.98</v>
      </c>
      <c r="K769" t="s">
        <v>13</v>
      </c>
      <c r="L769" s="3">
        <f t="shared" si="33"/>
        <v>3.4842424242424244</v>
      </c>
      <c r="M769" t="str">
        <f t="shared" si="34"/>
        <v>Tuesday</v>
      </c>
      <c r="N769" t="str">
        <f t="shared" si="35"/>
        <v>Medium</v>
      </c>
    </row>
    <row r="770" spans="1:14" x14ac:dyDescent="0.35">
      <c r="A770">
        <v>1500762892</v>
      </c>
      <c r="B770" s="1">
        <v>42938</v>
      </c>
      <c r="C770" t="s">
        <v>11</v>
      </c>
      <c r="D770" t="s">
        <v>15</v>
      </c>
      <c r="E770" t="s">
        <v>89</v>
      </c>
      <c r="F770" t="s">
        <v>12</v>
      </c>
      <c r="G770" t="s">
        <v>90</v>
      </c>
      <c r="H770" s="2">
        <v>33</v>
      </c>
      <c r="I770" s="2">
        <v>1</v>
      </c>
      <c r="J770" s="3">
        <v>115.9</v>
      </c>
      <c r="K770" t="s">
        <v>13</v>
      </c>
      <c r="L770" s="3">
        <f t="shared" si="33"/>
        <v>3.5121212121212122</v>
      </c>
      <c r="M770" t="str">
        <f t="shared" si="34"/>
        <v>Saturday</v>
      </c>
      <c r="N770" t="str">
        <f t="shared" si="35"/>
        <v>Medium</v>
      </c>
    </row>
    <row r="771" spans="1:14" x14ac:dyDescent="0.35">
      <c r="A771">
        <v>1472832496</v>
      </c>
      <c r="B771" s="1">
        <v>42615</v>
      </c>
      <c r="C771" t="s">
        <v>11</v>
      </c>
      <c r="D771" t="s">
        <v>15</v>
      </c>
      <c r="E771" t="s">
        <v>89</v>
      </c>
      <c r="F771" t="s">
        <v>16</v>
      </c>
      <c r="G771" t="s">
        <v>90</v>
      </c>
      <c r="H771" s="2">
        <v>20</v>
      </c>
      <c r="I771" s="2">
        <v>1</v>
      </c>
      <c r="J771" s="3">
        <v>117.34</v>
      </c>
      <c r="K771" t="s">
        <v>13</v>
      </c>
      <c r="L771" s="3">
        <f t="shared" ref="L771:L826" si="36">J771/H771</f>
        <v>5.867</v>
      </c>
      <c r="M771" t="str">
        <f t="shared" ref="M771:M826" si="37">TEXT(B771, "dddd")</f>
        <v>Friday</v>
      </c>
      <c r="N771" t="str">
        <f t="shared" ref="N771:N826" si="38">IF(J771&gt;200,"High",IF(J771&gt;=20,"Medium","Low"))</f>
        <v>Medium</v>
      </c>
    </row>
    <row r="772" spans="1:14" x14ac:dyDescent="0.35">
      <c r="A772">
        <v>1481944367</v>
      </c>
      <c r="B772" s="1">
        <v>42720</v>
      </c>
      <c r="C772" t="s">
        <v>11</v>
      </c>
      <c r="D772" t="s">
        <v>31</v>
      </c>
      <c r="E772" t="s">
        <v>89</v>
      </c>
      <c r="F772" t="s">
        <v>16</v>
      </c>
      <c r="G772" t="s">
        <v>91</v>
      </c>
      <c r="H772" s="2">
        <v>9</v>
      </c>
      <c r="I772" s="2">
        <v>1</v>
      </c>
      <c r="J772" s="3">
        <v>118.97</v>
      </c>
      <c r="K772" t="s">
        <v>13</v>
      </c>
      <c r="L772" s="3">
        <f t="shared" si="36"/>
        <v>13.218888888888889</v>
      </c>
      <c r="M772" t="str">
        <f t="shared" si="37"/>
        <v>Friday</v>
      </c>
      <c r="N772" t="str">
        <f t="shared" si="38"/>
        <v>Medium</v>
      </c>
    </row>
    <row r="773" spans="1:14" x14ac:dyDescent="0.35">
      <c r="A773">
        <v>1497879938</v>
      </c>
      <c r="B773" s="1">
        <v>42905</v>
      </c>
      <c r="C773" t="s">
        <v>11</v>
      </c>
      <c r="D773" t="s">
        <v>25</v>
      </c>
      <c r="E773" t="s">
        <v>89</v>
      </c>
      <c r="F773" t="s">
        <v>16</v>
      </c>
      <c r="G773" t="s">
        <v>91</v>
      </c>
      <c r="H773" s="2">
        <v>13</v>
      </c>
      <c r="I773" s="2">
        <v>1</v>
      </c>
      <c r="J773" s="3">
        <v>119.8</v>
      </c>
      <c r="K773" t="s">
        <v>13</v>
      </c>
      <c r="L773" s="3">
        <f t="shared" si="36"/>
        <v>9.2153846153846146</v>
      </c>
      <c r="M773" t="str">
        <f t="shared" si="37"/>
        <v>Monday</v>
      </c>
      <c r="N773" t="str">
        <f t="shared" si="38"/>
        <v>Medium</v>
      </c>
    </row>
    <row r="774" spans="1:14" x14ac:dyDescent="0.35">
      <c r="A774">
        <v>1492223915</v>
      </c>
      <c r="B774" s="1">
        <v>42839</v>
      </c>
      <c r="C774" t="s">
        <v>11</v>
      </c>
      <c r="D774" t="s">
        <v>31</v>
      </c>
      <c r="E774" t="s">
        <v>89</v>
      </c>
      <c r="F774" t="s">
        <v>12</v>
      </c>
      <c r="G774" t="s">
        <v>90</v>
      </c>
      <c r="H774" s="2">
        <v>33</v>
      </c>
      <c r="I774" s="2">
        <v>1</v>
      </c>
      <c r="J774" s="3">
        <v>119.97</v>
      </c>
      <c r="K774" t="s">
        <v>13</v>
      </c>
      <c r="L774" s="3">
        <f t="shared" si="36"/>
        <v>3.6354545454545453</v>
      </c>
      <c r="M774" t="str">
        <f t="shared" si="37"/>
        <v>Friday</v>
      </c>
      <c r="N774" t="str">
        <f t="shared" si="38"/>
        <v>Medium</v>
      </c>
    </row>
    <row r="775" spans="1:14" x14ac:dyDescent="0.35">
      <c r="A775">
        <v>1483645909</v>
      </c>
      <c r="B775" s="1">
        <v>42740</v>
      </c>
      <c r="C775" t="s">
        <v>11</v>
      </c>
      <c r="D775" t="s">
        <v>27</v>
      </c>
      <c r="E775" t="s">
        <v>89</v>
      </c>
      <c r="F775" t="s">
        <v>12</v>
      </c>
      <c r="G775" t="s">
        <v>91</v>
      </c>
      <c r="H775" s="2">
        <v>48</v>
      </c>
      <c r="I775" s="2">
        <v>1</v>
      </c>
      <c r="J775" s="3">
        <v>120.94</v>
      </c>
      <c r="K775" t="s">
        <v>13</v>
      </c>
      <c r="L775" s="3">
        <f t="shared" si="36"/>
        <v>2.5195833333333333</v>
      </c>
      <c r="M775" t="str">
        <f t="shared" si="37"/>
        <v>Thursday</v>
      </c>
      <c r="N775" t="str">
        <f t="shared" si="38"/>
        <v>Medium</v>
      </c>
    </row>
    <row r="776" spans="1:14" x14ac:dyDescent="0.35">
      <c r="A776">
        <v>1497534823</v>
      </c>
      <c r="B776" s="1">
        <v>42901</v>
      </c>
      <c r="C776" t="s">
        <v>11</v>
      </c>
      <c r="D776" t="s">
        <v>68</v>
      </c>
      <c r="E776" t="s">
        <v>89</v>
      </c>
      <c r="F776" t="s">
        <v>16</v>
      </c>
      <c r="G776" t="s">
        <v>90</v>
      </c>
      <c r="H776" s="2">
        <v>29</v>
      </c>
      <c r="I776" s="2">
        <v>1</v>
      </c>
      <c r="J776" s="3">
        <v>124.93</v>
      </c>
      <c r="K776" t="s">
        <v>13</v>
      </c>
      <c r="L776" s="3">
        <f t="shared" si="36"/>
        <v>4.3079310344827588</v>
      </c>
      <c r="M776" t="str">
        <f t="shared" si="37"/>
        <v>Thursday</v>
      </c>
      <c r="N776" t="str">
        <f t="shared" si="38"/>
        <v>Medium</v>
      </c>
    </row>
    <row r="777" spans="1:14" x14ac:dyDescent="0.35">
      <c r="A777">
        <v>1491589158</v>
      </c>
      <c r="B777" s="1">
        <v>42832</v>
      </c>
      <c r="C777" t="s">
        <v>11</v>
      </c>
      <c r="D777" t="s">
        <v>15</v>
      </c>
      <c r="E777" t="s">
        <v>89</v>
      </c>
      <c r="F777" t="s">
        <v>16</v>
      </c>
      <c r="G777" t="s">
        <v>90</v>
      </c>
      <c r="H777" s="2">
        <v>22</v>
      </c>
      <c r="I777" s="2">
        <v>1</v>
      </c>
      <c r="J777" s="3">
        <v>125.75</v>
      </c>
      <c r="K777" t="s">
        <v>13</v>
      </c>
      <c r="L777" s="3">
        <f t="shared" si="36"/>
        <v>5.7159090909090908</v>
      </c>
      <c r="M777" t="str">
        <f t="shared" si="37"/>
        <v>Friday</v>
      </c>
      <c r="N777" t="str">
        <f t="shared" si="38"/>
        <v>Medium</v>
      </c>
    </row>
    <row r="778" spans="1:14" x14ac:dyDescent="0.35">
      <c r="A778">
        <v>1473736928</v>
      </c>
      <c r="B778" s="1">
        <v>42625</v>
      </c>
      <c r="C778" t="s">
        <v>11</v>
      </c>
      <c r="D778" t="s">
        <v>87</v>
      </c>
      <c r="E778" t="s">
        <v>89</v>
      </c>
      <c r="F778" t="s">
        <v>16</v>
      </c>
      <c r="G778" t="s">
        <v>91</v>
      </c>
      <c r="H778" s="2">
        <v>51</v>
      </c>
      <c r="I778" s="2">
        <v>1</v>
      </c>
      <c r="J778" s="3">
        <v>126.06</v>
      </c>
      <c r="K778" t="s">
        <v>13</v>
      </c>
      <c r="L778" s="3">
        <f t="shared" si="36"/>
        <v>2.4717647058823529</v>
      </c>
      <c r="M778" t="str">
        <f t="shared" si="37"/>
        <v>Monday</v>
      </c>
      <c r="N778" t="str">
        <f t="shared" si="38"/>
        <v>Medium</v>
      </c>
    </row>
    <row r="779" spans="1:14" x14ac:dyDescent="0.35">
      <c r="A779">
        <v>1494449146</v>
      </c>
      <c r="B779" s="1">
        <v>42865</v>
      </c>
      <c r="C779" t="s">
        <v>11</v>
      </c>
      <c r="D779" t="s">
        <v>31</v>
      </c>
      <c r="E779" t="s">
        <v>89</v>
      </c>
      <c r="F779" t="s">
        <v>16</v>
      </c>
      <c r="G779" t="s">
        <v>90</v>
      </c>
      <c r="H779" s="2">
        <v>36</v>
      </c>
      <c r="I779" s="2">
        <v>1</v>
      </c>
      <c r="J779" s="3">
        <v>129.19999999999999</v>
      </c>
      <c r="K779" t="s">
        <v>13</v>
      </c>
      <c r="L779" s="3">
        <f t="shared" si="36"/>
        <v>3.5888888888888886</v>
      </c>
      <c r="M779" t="str">
        <f t="shared" si="37"/>
        <v>Wednesday</v>
      </c>
      <c r="N779" t="str">
        <f t="shared" si="38"/>
        <v>Medium</v>
      </c>
    </row>
    <row r="780" spans="1:14" x14ac:dyDescent="0.35">
      <c r="A780">
        <v>1489126113</v>
      </c>
      <c r="B780" s="1">
        <v>42803</v>
      </c>
      <c r="C780" t="s">
        <v>11</v>
      </c>
      <c r="D780" t="s">
        <v>87</v>
      </c>
      <c r="E780" t="s">
        <v>89</v>
      </c>
      <c r="F780" t="s">
        <v>16</v>
      </c>
      <c r="G780" t="s">
        <v>90</v>
      </c>
      <c r="H780" s="2">
        <v>104</v>
      </c>
      <c r="I780" s="2">
        <v>1</v>
      </c>
      <c r="J780" s="3">
        <v>132.44999999999999</v>
      </c>
      <c r="K780" t="s">
        <v>13</v>
      </c>
      <c r="L780" s="3">
        <f t="shared" si="36"/>
        <v>1.2735576923076921</v>
      </c>
      <c r="M780" t="str">
        <f t="shared" si="37"/>
        <v>Thursday</v>
      </c>
      <c r="N780" t="str">
        <f t="shared" si="38"/>
        <v>Medium</v>
      </c>
    </row>
    <row r="781" spans="1:14" x14ac:dyDescent="0.35">
      <c r="A781">
        <v>1493311392</v>
      </c>
      <c r="B781" s="1">
        <v>42852</v>
      </c>
      <c r="C781" t="s">
        <v>11</v>
      </c>
      <c r="D781" t="s">
        <v>87</v>
      </c>
      <c r="E781" t="s">
        <v>89</v>
      </c>
      <c r="F781" t="s">
        <v>12</v>
      </c>
      <c r="G781" t="s">
        <v>91</v>
      </c>
      <c r="H781" s="2">
        <v>33</v>
      </c>
      <c r="I781" s="2">
        <v>1</v>
      </c>
      <c r="J781" s="3">
        <v>133.96</v>
      </c>
      <c r="K781" t="s">
        <v>13</v>
      </c>
      <c r="L781" s="3">
        <f t="shared" si="36"/>
        <v>4.0593939393939396</v>
      </c>
      <c r="M781" t="str">
        <f t="shared" si="37"/>
        <v>Thursday</v>
      </c>
      <c r="N781" t="str">
        <f t="shared" si="38"/>
        <v>Medium</v>
      </c>
    </row>
    <row r="782" spans="1:14" x14ac:dyDescent="0.35">
      <c r="A782">
        <v>1479485888</v>
      </c>
      <c r="B782" s="1">
        <v>42692</v>
      </c>
      <c r="C782" t="s">
        <v>11</v>
      </c>
      <c r="D782" t="s">
        <v>87</v>
      </c>
      <c r="E782" t="s">
        <v>89</v>
      </c>
      <c r="F782" t="s">
        <v>12</v>
      </c>
      <c r="G782" t="s">
        <v>91</v>
      </c>
      <c r="H782" s="2">
        <v>67</v>
      </c>
      <c r="I782" s="2">
        <v>1</v>
      </c>
      <c r="J782" s="3">
        <v>136.57</v>
      </c>
      <c r="K782" t="s">
        <v>13</v>
      </c>
      <c r="L782" s="3">
        <f t="shared" si="36"/>
        <v>2.0383582089552239</v>
      </c>
      <c r="M782" t="str">
        <f t="shared" si="37"/>
        <v>Friday</v>
      </c>
      <c r="N782" t="str">
        <f t="shared" si="38"/>
        <v>Medium</v>
      </c>
    </row>
    <row r="783" spans="1:14" x14ac:dyDescent="0.35">
      <c r="A783">
        <v>1497367077</v>
      </c>
      <c r="B783" s="1">
        <v>42899</v>
      </c>
      <c r="C783" t="s">
        <v>11</v>
      </c>
      <c r="D783" t="s">
        <v>87</v>
      </c>
      <c r="E783" t="s">
        <v>89</v>
      </c>
      <c r="F783" t="s">
        <v>16</v>
      </c>
      <c r="G783" t="s">
        <v>91</v>
      </c>
      <c r="H783" s="2">
        <v>30</v>
      </c>
      <c r="I783" s="2">
        <v>1</v>
      </c>
      <c r="J783" s="3">
        <v>137.65</v>
      </c>
      <c r="K783" t="s">
        <v>13</v>
      </c>
      <c r="L783" s="3">
        <f t="shared" si="36"/>
        <v>4.5883333333333338</v>
      </c>
      <c r="M783" t="str">
        <f t="shared" si="37"/>
        <v>Tuesday</v>
      </c>
      <c r="N783" t="str">
        <f t="shared" si="38"/>
        <v>Medium</v>
      </c>
    </row>
    <row r="784" spans="1:14" x14ac:dyDescent="0.35">
      <c r="A784">
        <v>1494713884</v>
      </c>
      <c r="B784" s="1">
        <v>42868</v>
      </c>
      <c r="C784" t="s">
        <v>11</v>
      </c>
      <c r="D784" t="s">
        <v>87</v>
      </c>
      <c r="E784" t="s">
        <v>89</v>
      </c>
      <c r="F784" t="s">
        <v>12</v>
      </c>
      <c r="G784" t="s">
        <v>90</v>
      </c>
      <c r="H784" s="2">
        <v>8</v>
      </c>
      <c r="I784" s="2">
        <v>1</v>
      </c>
      <c r="J784" s="3">
        <v>145.99</v>
      </c>
      <c r="K784" t="s">
        <v>13</v>
      </c>
      <c r="L784" s="3">
        <f t="shared" si="36"/>
        <v>18.248750000000001</v>
      </c>
      <c r="M784" t="str">
        <f t="shared" si="37"/>
        <v>Saturday</v>
      </c>
      <c r="N784" t="str">
        <f t="shared" si="38"/>
        <v>Medium</v>
      </c>
    </row>
    <row r="785" spans="1:14" x14ac:dyDescent="0.35">
      <c r="A785">
        <v>1494098097</v>
      </c>
      <c r="B785" s="1">
        <v>42861</v>
      </c>
      <c r="C785" t="s">
        <v>11</v>
      </c>
      <c r="D785" t="s">
        <v>87</v>
      </c>
      <c r="E785" t="s">
        <v>89</v>
      </c>
      <c r="F785" t="s">
        <v>12</v>
      </c>
      <c r="G785" t="s">
        <v>91</v>
      </c>
      <c r="H785" s="2">
        <v>13</v>
      </c>
      <c r="I785" s="2">
        <v>1</v>
      </c>
      <c r="J785" s="3">
        <v>151.78</v>
      </c>
      <c r="K785" t="s">
        <v>13</v>
      </c>
      <c r="L785" s="3">
        <f t="shared" si="36"/>
        <v>11.675384615384615</v>
      </c>
      <c r="M785" t="str">
        <f t="shared" si="37"/>
        <v>Saturday</v>
      </c>
      <c r="N785" t="str">
        <f t="shared" si="38"/>
        <v>Medium</v>
      </c>
    </row>
    <row r="786" spans="1:14" x14ac:dyDescent="0.35">
      <c r="A786">
        <v>1483471853</v>
      </c>
      <c r="B786" s="1">
        <v>42738</v>
      </c>
      <c r="C786" t="s">
        <v>11</v>
      </c>
      <c r="D786" t="s">
        <v>87</v>
      </c>
      <c r="E786" t="s">
        <v>89</v>
      </c>
      <c r="F786" t="s">
        <v>12</v>
      </c>
      <c r="G786" t="s">
        <v>91</v>
      </c>
      <c r="H786" s="2">
        <v>42</v>
      </c>
      <c r="I786" s="2">
        <v>1</v>
      </c>
      <c r="J786" s="3">
        <v>153.93</v>
      </c>
      <c r="K786" t="s">
        <v>13</v>
      </c>
      <c r="L786" s="3">
        <f t="shared" si="36"/>
        <v>3.665</v>
      </c>
      <c r="M786" t="str">
        <f t="shared" si="37"/>
        <v>Tuesday</v>
      </c>
      <c r="N786" t="str">
        <f t="shared" si="38"/>
        <v>Medium</v>
      </c>
    </row>
    <row r="787" spans="1:14" x14ac:dyDescent="0.35">
      <c r="A787">
        <v>1484861545</v>
      </c>
      <c r="B787" s="1">
        <v>42754</v>
      </c>
      <c r="C787" t="s">
        <v>11</v>
      </c>
      <c r="D787" t="s">
        <v>87</v>
      </c>
      <c r="E787" t="s">
        <v>89</v>
      </c>
      <c r="F787" t="s">
        <v>12</v>
      </c>
      <c r="G787" t="s">
        <v>91</v>
      </c>
      <c r="H787" s="2">
        <v>24</v>
      </c>
      <c r="I787" s="2">
        <v>1</v>
      </c>
      <c r="J787" s="3">
        <v>154.97</v>
      </c>
      <c r="K787" t="s">
        <v>13</v>
      </c>
      <c r="L787" s="3">
        <f t="shared" si="36"/>
        <v>6.4570833333333333</v>
      </c>
      <c r="M787" t="str">
        <f t="shared" si="37"/>
        <v>Thursday</v>
      </c>
      <c r="N787" t="str">
        <f t="shared" si="38"/>
        <v>Medium</v>
      </c>
    </row>
    <row r="788" spans="1:14" x14ac:dyDescent="0.35">
      <c r="A788">
        <v>1492566096</v>
      </c>
      <c r="B788" s="1">
        <v>42843</v>
      </c>
      <c r="C788" t="s">
        <v>11</v>
      </c>
      <c r="D788" t="s">
        <v>68</v>
      </c>
      <c r="E788" t="s">
        <v>89</v>
      </c>
      <c r="F788" t="s">
        <v>16</v>
      </c>
      <c r="G788" t="s">
        <v>90</v>
      </c>
      <c r="H788" s="2">
        <v>18</v>
      </c>
      <c r="I788" s="2">
        <v>1</v>
      </c>
      <c r="J788" s="3">
        <v>157.41</v>
      </c>
      <c r="K788" t="s">
        <v>13</v>
      </c>
      <c r="L788" s="3">
        <f t="shared" si="36"/>
        <v>8.7449999999999992</v>
      </c>
      <c r="M788" t="str">
        <f t="shared" si="37"/>
        <v>Tuesday</v>
      </c>
      <c r="N788" t="str">
        <f t="shared" si="38"/>
        <v>Medium</v>
      </c>
    </row>
    <row r="789" spans="1:14" x14ac:dyDescent="0.35">
      <c r="A789">
        <v>1484309224</v>
      </c>
      <c r="B789" s="1">
        <v>42748</v>
      </c>
      <c r="C789" t="s">
        <v>11</v>
      </c>
      <c r="D789" t="s">
        <v>87</v>
      </c>
      <c r="E789" t="s">
        <v>89</v>
      </c>
      <c r="F789" t="s">
        <v>12</v>
      </c>
      <c r="G789" t="s">
        <v>91</v>
      </c>
      <c r="H789" s="2">
        <v>26</v>
      </c>
      <c r="I789" s="2">
        <v>1</v>
      </c>
      <c r="J789" s="3">
        <v>167.97</v>
      </c>
      <c r="K789" t="s">
        <v>13</v>
      </c>
      <c r="L789" s="3">
        <f t="shared" si="36"/>
        <v>6.4603846153846156</v>
      </c>
      <c r="M789" t="str">
        <f t="shared" si="37"/>
        <v>Friday</v>
      </c>
      <c r="N789" t="str">
        <f t="shared" si="38"/>
        <v>Medium</v>
      </c>
    </row>
    <row r="790" spans="1:14" x14ac:dyDescent="0.35">
      <c r="A790">
        <v>1481317525</v>
      </c>
      <c r="B790" s="1">
        <v>42713</v>
      </c>
      <c r="C790" t="s">
        <v>11</v>
      </c>
      <c r="D790" t="s">
        <v>87</v>
      </c>
      <c r="E790" t="s">
        <v>89</v>
      </c>
      <c r="F790" t="s">
        <v>12</v>
      </c>
      <c r="G790" t="s">
        <v>91</v>
      </c>
      <c r="H790" s="2">
        <v>84</v>
      </c>
      <c r="I790" s="2">
        <v>1</v>
      </c>
      <c r="J790" s="3">
        <v>168.73</v>
      </c>
      <c r="K790" t="s">
        <v>13</v>
      </c>
      <c r="L790" s="3">
        <f t="shared" si="36"/>
        <v>2.008690476190476</v>
      </c>
      <c r="M790" t="str">
        <f t="shared" si="37"/>
        <v>Friday</v>
      </c>
      <c r="N790" t="str">
        <f t="shared" si="38"/>
        <v>Medium</v>
      </c>
    </row>
    <row r="791" spans="1:14" x14ac:dyDescent="0.35">
      <c r="A791">
        <v>1479276952</v>
      </c>
      <c r="B791" s="1">
        <v>42689</v>
      </c>
      <c r="C791" t="s">
        <v>11</v>
      </c>
      <c r="D791" t="s">
        <v>87</v>
      </c>
      <c r="E791" t="s">
        <v>89</v>
      </c>
      <c r="F791" t="s">
        <v>12</v>
      </c>
      <c r="G791" t="s">
        <v>91</v>
      </c>
      <c r="H791" s="2">
        <v>17</v>
      </c>
      <c r="I791" s="2">
        <v>1</v>
      </c>
      <c r="J791" s="3">
        <v>173.98</v>
      </c>
      <c r="K791" t="s">
        <v>13</v>
      </c>
      <c r="L791" s="3">
        <f t="shared" si="36"/>
        <v>10.234117647058824</v>
      </c>
      <c r="M791" t="str">
        <f t="shared" si="37"/>
        <v>Tuesday</v>
      </c>
      <c r="N791" t="str">
        <f t="shared" si="38"/>
        <v>Medium</v>
      </c>
    </row>
    <row r="792" spans="1:14" x14ac:dyDescent="0.35">
      <c r="A792">
        <v>1494107906</v>
      </c>
      <c r="B792" s="1">
        <v>42861</v>
      </c>
      <c r="C792" t="s">
        <v>11</v>
      </c>
      <c r="D792" t="s">
        <v>87</v>
      </c>
      <c r="E792" t="s">
        <v>89</v>
      </c>
      <c r="F792" t="s">
        <v>12</v>
      </c>
      <c r="G792" t="s">
        <v>90</v>
      </c>
      <c r="H792" s="2">
        <v>26</v>
      </c>
      <c r="I792" s="2">
        <v>1</v>
      </c>
      <c r="J792" s="3">
        <v>184.41</v>
      </c>
      <c r="K792" t="s">
        <v>13</v>
      </c>
      <c r="L792" s="3">
        <f t="shared" si="36"/>
        <v>7.0926923076923076</v>
      </c>
      <c r="M792" t="str">
        <f t="shared" si="37"/>
        <v>Saturday</v>
      </c>
      <c r="N792" t="str">
        <f t="shared" si="38"/>
        <v>Medium</v>
      </c>
    </row>
    <row r="793" spans="1:14" x14ac:dyDescent="0.35">
      <c r="A793">
        <v>1472229792</v>
      </c>
      <c r="B793" s="1">
        <v>42608</v>
      </c>
      <c r="C793" t="s">
        <v>11</v>
      </c>
      <c r="D793" t="s">
        <v>87</v>
      </c>
      <c r="E793" t="s">
        <v>89</v>
      </c>
      <c r="F793" t="s">
        <v>12</v>
      </c>
      <c r="G793" t="s">
        <v>90</v>
      </c>
      <c r="H793" s="2">
        <v>64</v>
      </c>
      <c r="I793" s="2">
        <v>1</v>
      </c>
      <c r="J793" s="3">
        <v>204.42</v>
      </c>
      <c r="K793" t="s">
        <v>13</v>
      </c>
      <c r="L793" s="3">
        <f t="shared" si="36"/>
        <v>3.1940624999999998</v>
      </c>
      <c r="M793" t="str">
        <f t="shared" si="37"/>
        <v>Friday</v>
      </c>
      <c r="N793" t="str">
        <f t="shared" si="38"/>
        <v>High</v>
      </c>
    </row>
    <row r="794" spans="1:14" x14ac:dyDescent="0.35">
      <c r="A794">
        <v>1484770141</v>
      </c>
      <c r="B794" s="1">
        <v>42753</v>
      </c>
      <c r="C794" t="s">
        <v>11</v>
      </c>
      <c r="D794" t="s">
        <v>31</v>
      </c>
      <c r="E794" t="s">
        <v>89</v>
      </c>
      <c r="F794" t="s">
        <v>12</v>
      </c>
      <c r="G794" t="s">
        <v>90</v>
      </c>
      <c r="H794" s="2">
        <v>30</v>
      </c>
      <c r="I794" s="2">
        <v>1</v>
      </c>
      <c r="J794" s="3">
        <v>213.94</v>
      </c>
      <c r="K794" t="s">
        <v>13</v>
      </c>
      <c r="L794" s="3">
        <f t="shared" si="36"/>
        <v>7.1313333333333331</v>
      </c>
      <c r="M794" t="str">
        <f t="shared" si="37"/>
        <v>Wednesday</v>
      </c>
      <c r="N794" t="str">
        <f t="shared" si="38"/>
        <v>High</v>
      </c>
    </row>
    <row r="795" spans="1:14" x14ac:dyDescent="0.35">
      <c r="A795">
        <v>1489523809</v>
      </c>
      <c r="B795" s="1">
        <v>42808</v>
      </c>
      <c r="C795" t="s">
        <v>11</v>
      </c>
      <c r="D795" t="s">
        <v>87</v>
      </c>
      <c r="E795" t="s">
        <v>89</v>
      </c>
      <c r="F795" t="s">
        <v>12</v>
      </c>
      <c r="G795" t="s">
        <v>90</v>
      </c>
      <c r="H795" s="2">
        <v>20</v>
      </c>
      <c r="I795" s="2">
        <v>1</v>
      </c>
      <c r="J795" s="3">
        <v>224.97</v>
      </c>
      <c r="K795" t="s">
        <v>13</v>
      </c>
      <c r="L795" s="3">
        <f t="shared" si="36"/>
        <v>11.2485</v>
      </c>
      <c r="M795" t="str">
        <f t="shared" si="37"/>
        <v>Tuesday</v>
      </c>
      <c r="N795" t="str">
        <f t="shared" si="38"/>
        <v>High</v>
      </c>
    </row>
    <row r="796" spans="1:14" x14ac:dyDescent="0.35">
      <c r="A796">
        <v>1486827374</v>
      </c>
      <c r="B796" s="1">
        <v>42777</v>
      </c>
      <c r="C796" t="s">
        <v>11</v>
      </c>
      <c r="D796" t="s">
        <v>87</v>
      </c>
      <c r="E796" t="s">
        <v>89</v>
      </c>
      <c r="F796" t="s">
        <v>16</v>
      </c>
      <c r="G796" t="s">
        <v>91</v>
      </c>
      <c r="H796" s="2">
        <v>33</v>
      </c>
      <c r="I796" s="2">
        <v>1</v>
      </c>
      <c r="J796" s="3">
        <v>249.9</v>
      </c>
      <c r="K796" t="s">
        <v>13</v>
      </c>
      <c r="L796" s="3">
        <f t="shared" si="36"/>
        <v>7.5727272727272732</v>
      </c>
      <c r="M796" t="str">
        <f t="shared" si="37"/>
        <v>Saturday</v>
      </c>
      <c r="N796" t="str">
        <f t="shared" si="38"/>
        <v>High</v>
      </c>
    </row>
    <row r="797" spans="1:14" x14ac:dyDescent="0.35">
      <c r="A797">
        <v>1483148696</v>
      </c>
      <c r="B797" s="1">
        <v>42734</v>
      </c>
      <c r="C797" t="s">
        <v>11</v>
      </c>
      <c r="D797" t="s">
        <v>15</v>
      </c>
      <c r="E797" t="s">
        <v>89</v>
      </c>
      <c r="F797" t="s">
        <v>12</v>
      </c>
      <c r="G797" t="s">
        <v>91</v>
      </c>
      <c r="H797" s="2">
        <v>27</v>
      </c>
      <c r="I797" s="2">
        <v>1</v>
      </c>
      <c r="J797" s="3">
        <v>250</v>
      </c>
      <c r="K797" t="s">
        <v>13</v>
      </c>
      <c r="L797" s="3">
        <f t="shared" si="36"/>
        <v>9.2592592592592595</v>
      </c>
      <c r="M797" t="str">
        <f t="shared" si="37"/>
        <v>Friday</v>
      </c>
      <c r="N797" t="str">
        <f t="shared" si="38"/>
        <v>High</v>
      </c>
    </row>
    <row r="798" spans="1:14" x14ac:dyDescent="0.35">
      <c r="A798">
        <v>1498059715</v>
      </c>
      <c r="B798" s="1">
        <v>42907</v>
      </c>
      <c r="C798" t="s">
        <v>11</v>
      </c>
      <c r="D798" t="s">
        <v>28</v>
      </c>
      <c r="E798" t="s">
        <v>89</v>
      </c>
      <c r="F798" t="s">
        <v>12</v>
      </c>
      <c r="G798" t="s">
        <v>91</v>
      </c>
      <c r="H798" s="2">
        <v>13</v>
      </c>
      <c r="I798" s="2">
        <v>1</v>
      </c>
      <c r="J798" s="3">
        <v>299.97000000000003</v>
      </c>
      <c r="K798" t="s">
        <v>13</v>
      </c>
      <c r="L798" s="3">
        <f t="shared" si="36"/>
        <v>23.074615384615388</v>
      </c>
      <c r="M798" t="str">
        <f t="shared" si="37"/>
        <v>Wednesday</v>
      </c>
      <c r="N798" t="str">
        <f t="shared" si="38"/>
        <v>High</v>
      </c>
    </row>
    <row r="799" spans="1:14" x14ac:dyDescent="0.35">
      <c r="A799">
        <v>1480617117</v>
      </c>
      <c r="B799" s="1">
        <v>42705</v>
      </c>
      <c r="C799" t="s">
        <v>69</v>
      </c>
      <c r="D799" t="s">
        <v>70</v>
      </c>
      <c r="E799" t="s">
        <v>89</v>
      </c>
      <c r="F799" t="s">
        <v>16</v>
      </c>
      <c r="G799" t="s">
        <v>91</v>
      </c>
      <c r="H799" s="2">
        <v>36</v>
      </c>
      <c r="I799" s="2">
        <v>1</v>
      </c>
      <c r="J799" s="3">
        <v>334.93</v>
      </c>
      <c r="K799" t="s">
        <v>13</v>
      </c>
      <c r="L799" s="3">
        <f t="shared" si="36"/>
        <v>9.3036111111111115</v>
      </c>
      <c r="M799" t="str">
        <f t="shared" si="37"/>
        <v>Thursday</v>
      </c>
      <c r="N799" t="str">
        <f t="shared" si="38"/>
        <v>High</v>
      </c>
    </row>
    <row r="800" spans="1:14" x14ac:dyDescent="0.35">
      <c r="A800">
        <v>1494619899</v>
      </c>
      <c r="B800" s="1">
        <v>42867</v>
      </c>
      <c r="C800" t="s">
        <v>11</v>
      </c>
      <c r="D800" t="s">
        <v>87</v>
      </c>
      <c r="E800" t="s">
        <v>89</v>
      </c>
      <c r="F800" t="s">
        <v>12</v>
      </c>
      <c r="G800" t="s">
        <v>91</v>
      </c>
      <c r="H800" s="2">
        <v>11</v>
      </c>
      <c r="I800" s="2">
        <v>1</v>
      </c>
      <c r="J800" s="3">
        <v>339.6</v>
      </c>
      <c r="K800" t="s">
        <v>13</v>
      </c>
      <c r="L800" s="3">
        <f t="shared" si="36"/>
        <v>30.872727272727275</v>
      </c>
      <c r="M800" t="str">
        <f t="shared" si="37"/>
        <v>Friday</v>
      </c>
      <c r="N800" t="str">
        <f t="shared" si="38"/>
        <v>High</v>
      </c>
    </row>
    <row r="801" spans="1:14" x14ac:dyDescent="0.35">
      <c r="A801">
        <v>1481313113</v>
      </c>
      <c r="B801" s="1">
        <v>42713</v>
      </c>
      <c r="C801" t="s">
        <v>11</v>
      </c>
      <c r="D801" t="s">
        <v>87</v>
      </c>
      <c r="E801" t="s">
        <v>89</v>
      </c>
      <c r="F801" t="s">
        <v>12</v>
      </c>
      <c r="G801" t="s">
        <v>91</v>
      </c>
      <c r="H801" s="2">
        <v>18</v>
      </c>
      <c r="I801" s="2">
        <v>1</v>
      </c>
      <c r="J801" s="3">
        <v>350</v>
      </c>
      <c r="K801" t="s">
        <v>13</v>
      </c>
      <c r="L801" s="3">
        <f t="shared" si="36"/>
        <v>19.444444444444443</v>
      </c>
      <c r="M801" t="str">
        <f t="shared" si="37"/>
        <v>Friday</v>
      </c>
      <c r="N801" t="str">
        <f t="shared" si="38"/>
        <v>High</v>
      </c>
    </row>
    <row r="802" spans="1:14" x14ac:dyDescent="0.35">
      <c r="A802">
        <v>1476837799</v>
      </c>
      <c r="B802" s="1">
        <v>42661</v>
      </c>
      <c r="C802" t="s">
        <v>11</v>
      </c>
      <c r="D802" t="s">
        <v>87</v>
      </c>
      <c r="E802" t="s">
        <v>89</v>
      </c>
      <c r="F802" t="s">
        <v>12</v>
      </c>
      <c r="G802" t="s">
        <v>91</v>
      </c>
      <c r="H802" s="2">
        <v>33</v>
      </c>
      <c r="I802" s="2">
        <v>1</v>
      </c>
      <c r="J802" s="3">
        <v>368.1</v>
      </c>
      <c r="K802" t="s">
        <v>13</v>
      </c>
      <c r="L802" s="3">
        <f t="shared" si="36"/>
        <v>11.154545454545456</v>
      </c>
      <c r="M802" t="str">
        <f t="shared" si="37"/>
        <v>Tuesday</v>
      </c>
      <c r="N802" t="str">
        <f t="shared" si="38"/>
        <v>High</v>
      </c>
    </row>
    <row r="803" spans="1:14" x14ac:dyDescent="0.35">
      <c r="A803">
        <v>1498678549</v>
      </c>
      <c r="B803" s="1">
        <v>42914</v>
      </c>
      <c r="C803" t="s">
        <v>11</v>
      </c>
      <c r="D803" t="s">
        <v>87</v>
      </c>
      <c r="E803" t="s">
        <v>89</v>
      </c>
      <c r="F803" t="s">
        <v>16</v>
      </c>
      <c r="G803" t="s">
        <v>91</v>
      </c>
      <c r="H803" s="2">
        <v>37</v>
      </c>
      <c r="I803" s="2">
        <v>1</v>
      </c>
      <c r="J803" s="3">
        <v>450.63</v>
      </c>
      <c r="K803" t="s">
        <v>13</v>
      </c>
      <c r="L803" s="3">
        <f t="shared" si="36"/>
        <v>12.17918918918919</v>
      </c>
      <c r="M803" t="str">
        <f t="shared" si="37"/>
        <v>Wednesday</v>
      </c>
      <c r="N803" t="str">
        <f t="shared" si="38"/>
        <v>High</v>
      </c>
    </row>
    <row r="804" spans="1:14" x14ac:dyDescent="0.35">
      <c r="A804">
        <v>1476810770</v>
      </c>
      <c r="B804" s="1">
        <v>42661</v>
      </c>
      <c r="C804" t="s">
        <v>11</v>
      </c>
      <c r="D804" t="s">
        <v>58</v>
      </c>
      <c r="E804" t="s">
        <v>89</v>
      </c>
      <c r="F804" t="s">
        <v>12</v>
      </c>
      <c r="G804" t="s">
        <v>91</v>
      </c>
      <c r="H804" s="2">
        <v>49</v>
      </c>
      <c r="I804" s="2">
        <v>1</v>
      </c>
      <c r="J804" s="3">
        <v>454.91</v>
      </c>
      <c r="K804" t="s">
        <v>13</v>
      </c>
      <c r="L804" s="3">
        <f t="shared" si="36"/>
        <v>9.2838775510204083</v>
      </c>
      <c r="M804" t="str">
        <f t="shared" si="37"/>
        <v>Tuesday</v>
      </c>
      <c r="N804" t="str">
        <f t="shared" si="38"/>
        <v>High</v>
      </c>
    </row>
    <row r="805" spans="1:14" x14ac:dyDescent="0.35">
      <c r="A805">
        <v>1479915109</v>
      </c>
      <c r="B805" s="1">
        <v>42697</v>
      </c>
      <c r="C805" t="s">
        <v>11</v>
      </c>
      <c r="D805" t="s">
        <v>87</v>
      </c>
      <c r="E805" t="s">
        <v>89</v>
      </c>
      <c r="F805" t="s">
        <v>12</v>
      </c>
      <c r="G805" t="s">
        <v>91</v>
      </c>
      <c r="H805" s="2">
        <v>9</v>
      </c>
      <c r="I805" s="2">
        <v>1</v>
      </c>
      <c r="J805" s="3">
        <v>483.55</v>
      </c>
      <c r="K805" t="s">
        <v>13</v>
      </c>
      <c r="L805" s="3">
        <f t="shared" si="36"/>
        <v>53.727777777777781</v>
      </c>
      <c r="M805" t="str">
        <f t="shared" si="37"/>
        <v>Wednesday</v>
      </c>
      <c r="N805" t="str">
        <f t="shared" si="38"/>
        <v>High</v>
      </c>
    </row>
    <row r="806" spans="1:14" x14ac:dyDescent="0.35">
      <c r="A806">
        <v>1488353173</v>
      </c>
      <c r="B806" s="1">
        <v>42794</v>
      </c>
      <c r="C806" t="s">
        <v>11</v>
      </c>
      <c r="D806" t="s">
        <v>87</v>
      </c>
      <c r="E806" t="s">
        <v>89</v>
      </c>
      <c r="F806" t="s">
        <v>12</v>
      </c>
      <c r="G806" t="s">
        <v>91</v>
      </c>
      <c r="H806" s="2">
        <v>28</v>
      </c>
      <c r="I806" s="2">
        <v>2</v>
      </c>
      <c r="J806" s="3">
        <v>509.7</v>
      </c>
      <c r="K806" t="s">
        <v>13</v>
      </c>
      <c r="L806" s="3">
        <f t="shared" si="36"/>
        <v>18.203571428571429</v>
      </c>
      <c r="M806" t="str">
        <f t="shared" si="37"/>
        <v>Tuesday</v>
      </c>
      <c r="N806" t="str">
        <f t="shared" si="38"/>
        <v>High</v>
      </c>
    </row>
    <row r="807" spans="1:14" x14ac:dyDescent="0.35">
      <c r="A807">
        <v>1477587889</v>
      </c>
      <c r="B807" s="1">
        <v>42670</v>
      </c>
      <c r="C807" t="s">
        <v>11</v>
      </c>
      <c r="D807" t="s">
        <v>27</v>
      </c>
      <c r="E807" t="s">
        <v>89</v>
      </c>
      <c r="F807" t="s">
        <v>12</v>
      </c>
      <c r="G807" t="s">
        <v>91</v>
      </c>
      <c r="H807" s="2">
        <v>47</v>
      </c>
      <c r="I807" s="2">
        <v>1</v>
      </c>
      <c r="J807" s="3">
        <v>510.01</v>
      </c>
      <c r="K807" t="s">
        <v>13</v>
      </c>
      <c r="L807" s="3">
        <f t="shared" si="36"/>
        <v>10.851276595744681</v>
      </c>
      <c r="M807" t="str">
        <f t="shared" si="37"/>
        <v>Thursday</v>
      </c>
      <c r="N807" t="str">
        <f t="shared" si="38"/>
        <v>High</v>
      </c>
    </row>
    <row r="808" spans="1:14" x14ac:dyDescent="0.35">
      <c r="A808">
        <v>1476874130</v>
      </c>
      <c r="B808" s="1">
        <v>42662</v>
      </c>
      <c r="C808" t="s">
        <v>11</v>
      </c>
      <c r="D808" t="s">
        <v>14</v>
      </c>
      <c r="E808" t="s">
        <v>89</v>
      </c>
      <c r="F808" t="s">
        <v>12</v>
      </c>
      <c r="G808" t="s">
        <v>91</v>
      </c>
      <c r="H808" s="2">
        <v>75</v>
      </c>
      <c r="I808" s="2">
        <v>1</v>
      </c>
      <c r="J808" s="3">
        <v>523.39</v>
      </c>
      <c r="K808" t="s">
        <v>13</v>
      </c>
      <c r="L808" s="3">
        <f t="shared" si="36"/>
        <v>6.978533333333333</v>
      </c>
      <c r="M808" t="str">
        <f t="shared" si="37"/>
        <v>Wednesday</v>
      </c>
      <c r="N808" t="str">
        <f t="shared" si="38"/>
        <v>High</v>
      </c>
    </row>
    <row r="809" spans="1:14" x14ac:dyDescent="0.35">
      <c r="A809">
        <v>1491020230</v>
      </c>
      <c r="B809" s="1">
        <v>42825</v>
      </c>
      <c r="C809" t="s">
        <v>11</v>
      </c>
      <c r="D809" t="s">
        <v>14</v>
      </c>
      <c r="E809" t="s">
        <v>89</v>
      </c>
      <c r="F809" t="s">
        <v>12</v>
      </c>
      <c r="G809" t="s">
        <v>91</v>
      </c>
      <c r="H809" s="2">
        <v>36</v>
      </c>
      <c r="I809" s="2">
        <v>2</v>
      </c>
      <c r="J809" s="3">
        <v>544.08000000000004</v>
      </c>
      <c r="K809" t="s">
        <v>13</v>
      </c>
      <c r="L809" s="3">
        <f t="shared" si="36"/>
        <v>15.113333333333335</v>
      </c>
      <c r="M809" t="str">
        <f t="shared" si="37"/>
        <v>Friday</v>
      </c>
      <c r="N809" t="str">
        <f t="shared" si="38"/>
        <v>High</v>
      </c>
    </row>
    <row r="810" spans="1:14" x14ac:dyDescent="0.35">
      <c r="A810">
        <v>1482036130</v>
      </c>
      <c r="B810" s="1">
        <v>42721</v>
      </c>
      <c r="C810" t="s">
        <v>11</v>
      </c>
      <c r="D810" t="s">
        <v>14</v>
      </c>
      <c r="E810" t="s">
        <v>89</v>
      </c>
      <c r="F810" t="s">
        <v>12</v>
      </c>
      <c r="G810" t="s">
        <v>91</v>
      </c>
      <c r="H810" s="2">
        <v>49</v>
      </c>
      <c r="I810" s="2">
        <v>2</v>
      </c>
      <c r="J810" s="3">
        <v>548.99</v>
      </c>
      <c r="K810" t="s">
        <v>13</v>
      </c>
      <c r="L810" s="3">
        <f t="shared" si="36"/>
        <v>11.203877551020408</v>
      </c>
      <c r="M810" t="str">
        <f t="shared" si="37"/>
        <v>Saturday</v>
      </c>
      <c r="N810" t="str">
        <f t="shared" si="38"/>
        <v>High</v>
      </c>
    </row>
    <row r="811" spans="1:14" x14ac:dyDescent="0.35">
      <c r="A811">
        <v>1476830455</v>
      </c>
      <c r="B811" s="1">
        <v>42661</v>
      </c>
      <c r="C811" t="s">
        <v>11</v>
      </c>
      <c r="D811" t="s">
        <v>87</v>
      </c>
      <c r="E811" t="s">
        <v>89</v>
      </c>
      <c r="F811" t="s">
        <v>12</v>
      </c>
      <c r="G811" t="s">
        <v>91</v>
      </c>
      <c r="H811" s="2">
        <v>35</v>
      </c>
      <c r="I811" s="2">
        <v>1</v>
      </c>
      <c r="J811" s="3">
        <v>620.30999999999995</v>
      </c>
      <c r="K811" t="s">
        <v>13</v>
      </c>
      <c r="L811" s="3">
        <f t="shared" si="36"/>
        <v>17.723142857142857</v>
      </c>
      <c r="M811" t="str">
        <f t="shared" si="37"/>
        <v>Tuesday</v>
      </c>
      <c r="N811" t="str">
        <f t="shared" si="38"/>
        <v>High</v>
      </c>
    </row>
    <row r="812" spans="1:14" x14ac:dyDescent="0.35">
      <c r="A812">
        <v>1481048217</v>
      </c>
      <c r="B812" s="1">
        <v>42710</v>
      </c>
      <c r="C812" t="s">
        <v>11</v>
      </c>
      <c r="D812" t="s">
        <v>15</v>
      </c>
      <c r="E812" t="s">
        <v>89</v>
      </c>
      <c r="F812" t="s">
        <v>16</v>
      </c>
      <c r="G812" t="s">
        <v>91</v>
      </c>
      <c r="H812" s="2">
        <v>19</v>
      </c>
      <c r="I812" s="2">
        <v>1</v>
      </c>
      <c r="J812" s="3">
        <v>624.75</v>
      </c>
      <c r="K812" t="s">
        <v>13</v>
      </c>
      <c r="L812" s="3">
        <f t="shared" si="36"/>
        <v>32.881578947368418</v>
      </c>
      <c r="M812" t="str">
        <f t="shared" si="37"/>
        <v>Tuesday</v>
      </c>
      <c r="N812" t="str">
        <f t="shared" si="38"/>
        <v>High</v>
      </c>
    </row>
    <row r="813" spans="1:14" x14ac:dyDescent="0.35">
      <c r="A813">
        <v>1501561533</v>
      </c>
      <c r="B813" s="1">
        <v>42947</v>
      </c>
      <c r="C813" t="s">
        <v>11</v>
      </c>
      <c r="D813" t="s">
        <v>28</v>
      </c>
      <c r="E813" t="s">
        <v>89</v>
      </c>
      <c r="F813" t="s">
        <v>12</v>
      </c>
      <c r="G813" t="s">
        <v>91</v>
      </c>
      <c r="H813" s="2">
        <v>40</v>
      </c>
      <c r="I813" s="2">
        <v>1</v>
      </c>
      <c r="J813" s="3">
        <v>629.82000000000005</v>
      </c>
      <c r="K813" t="s">
        <v>13</v>
      </c>
      <c r="L813" s="3">
        <f t="shared" si="36"/>
        <v>15.745500000000002</v>
      </c>
      <c r="M813" t="str">
        <f t="shared" si="37"/>
        <v>Monday</v>
      </c>
      <c r="N813" t="str">
        <f t="shared" si="38"/>
        <v>High</v>
      </c>
    </row>
    <row r="814" spans="1:14" x14ac:dyDescent="0.35">
      <c r="A814">
        <v>1501544540</v>
      </c>
      <c r="B814" s="1">
        <v>42947</v>
      </c>
      <c r="C814" t="s">
        <v>11</v>
      </c>
      <c r="D814" t="s">
        <v>27</v>
      </c>
      <c r="E814" t="s">
        <v>89</v>
      </c>
      <c r="F814" t="s">
        <v>12</v>
      </c>
      <c r="G814" t="s">
        <v>91</v>
      </c>
      <c r="H814" s="2">
        <v>28</v>
      </c>
      <c r="I814" s="2">
        <v>1</v>
      </c>
      <c r="J814" s="3">
        <v>647.6</v>
      </c>
      <c r="K814" t="s">
        <v>13</v>
      </c>
      <c r="L814" s="3">
        <f t="shared" si="36"/>
        <v>23.12857142857143</v>
      </c>
      <c r="M814" t="str">
        <f t="shared" si="37"/>
        <v>Monday</v>
      </c>
      <c r="N814" t="str">
        <f t="shared" si="38"/>
        <v>High</v>
      </c>
    </row>
    <row r="815" spans="1:14" x14ac:dyDescent="0.35">
      <c r="A815">
        <v>1479932305</v>
      </c>
      <c r="B815" s="1">
        <v>42697</v>
      </c>
      <c r="C815" t="s">
        <v>11</v>
      </c>
      <c r="D815" t="s">
        <v>27</v>
      </c>
      <c r="E815" t="s">
        <v>89</v>
      </c>
      <c r="F815" t="s">
        <v>12</v>
      </c>
      <c r="G815" t="s">
        <v>91</v>
      </c>
      <c r="H815" s="2">
        <v>35</v>
      </c>
      <c r="I815" s="2">
        <v>1</v>
      </c>
      <c r="J815" s="3">
        <v>657.6</v>
      </c>
      <c r="K815" t="s">
        <v>13</v>
      </c>
      <c r="L815" s="3">
        <f t="shared" si="36"/>
        <v>18.78857142857143</v>
      </c>
      <c r="M815" t="str">
        <f t="shared" si="37"/>
        <v>Wednesday</v>
      </c>
      <c r="N815" t="str">
        <f t="shared" si="38"/>
        <v>High</v>
      </c>
    </row>
    <row r="816" spans="1:14" x14ac:dyDescent="0.35">
      <c r="A816">
        <v>1476463143</v>
      </c>
      <c r="B816" s="1">
        <v>42657</v>
      </c>
      <c r="C816" t="s">
        <v>11</v>
      </c>
      <c r="D816" t="s">
        <v>27</v>
      </c>
      <c r="E816" t="s">
        <v>89</v>
      </c>
      <c r="F816" t="s">
        <v>12</v>
      </c>
      <c r="G816" t="s">
        <v>91</v>
      </c>
      <c r="H816" s="2">
        <v>75</v>
      </c>
      <c r="I816" s="2">
        <v>1</v>
      </c>
      <c r="J816" s="3">
        <v>663.6</v>
      </c>
      <c r="K816" t="s">
        <v>13</v>
      </c>
      <c r="L816" s="3">
        <f t="shared" si="36"/>
        <v>8.8480000000000008</v>
      </c>
      <c r="M816" t="str">
        <f t="shared" si="37"/>
        <v>Friday</v>
      </c>
      <c r="N816" t="str">
        <f t="shared" si="38"/>
        <v>High</v>
      </c>
    </row>
    <row r="817" spans="1:14" x14ac:dyDescent="0.35">
      <c r="A817">
        <v>1488326462</v>
      </c>
      <c r="B817" s="1">
        <v>42794</v>
      </c>
      <c r="C817" t="s">
        <v>11</v>
      </c>
      <c r="D817" t="s">
        <v>27</v>
      </c>
      <c r="E817" t="s">
        <v>89</v>
      </c>
      <c r="F817" t="s">
        <v>12</v>
      </c>
      <c r="G817" t="s">
        <v>91</v>
      </c>
      <c r="H817" s="2">
        <v>36</v>
      </c>
      <c r="I817" s="2">
        <v>1</v>
      </c>
      <c r="J817" s="3">
        <v>672.6</v>
      </c>
      <c r="K817" t="s">
        <v>13</v>
      </c>
      <c r="L817" s="3">
        <f t="shared" si="36"/>
        <v>18.683333333333334</v>
      </c>
      <c r="M817" t="str">
        <f t="shared" si="37"/>
        <v>Tuesday</v>
      </c>
      <c r="N817" t="str">
        <f t="shared" si="38"/>
        <v>High</v>
      </c>
    </row>
    <row r="818" spans="1:14" x14ac:dyDescent="0.35">
      <c r="A818">
        <v>1479485405</v>
      </c>
      <c r="B818" s="1">
        <v>42692</v>
      </c>
      <c r="C818" t="s">
        <v>11</v>
      </c>
      <c r="D818" t="s">
        <v>14</v>
      </c>
      <c r="E818" t="s">
        <v>89</v>
      </c>
      <c r="F818" t="s">
        <v>12</v>
      </c>
      <c r="G818" t="s">
        <v>91</v>
      </c>
      <c r="H818" s="2">
        <v>58</v>
      </c>
      <c r="I818" s="2">
        <v>1</v>
      </c>
      <c r="J818" s="3">
        <v>728.2</v>
      </c>
      <c r="K818" t="s">
        <v>13</v>
      </c>
      <c r="L818" s="3">
        <f t="shared" si="36"/>
        <v>12.555172413793104</v>
      </c>
      <c r="M818" t="str">
        <f t="shared" si="37"/>
        <v>Friday</v>
      </c>
      <c r="N818" t="str">
        <f t="shared" si="38"/>
        <v>High</v>
      </c>
    </row>
    <row r="819" spans="1:14" x14ac:dyDescent="0.35">
      <c r="A819">
        <v>1500921199</v>
      </c>
      <c r="B819" s="1">
        <v>42940</v>
      </c>
      <c r="C819" t="s">
        <v>11</v>
      </c>
      <c r="D819" t="s">
        <v>28</v>
      </c>
      <c r="E819" t="s">
        <v>89</v>
      </c>
      <c r="F819" t="s">
        <v>12</v>
      </c>
      <c r="G819" t="s">
        <v>90</v>
      </c>
      <c r="H819" s="2">
        <v>21</v>
      </c>
      <c r="I819" s="2">
        <v>1</v>
      </c>
      <c r="J819" s="3">
        <v>789.08</v>
      </c>
      <c r="K819" t="s">
        <v>13</v>
      </c>
      <c r="L819" s="3">
        <f t="shared" si="36"/>
        <v>37.575238095238099</v>
      </c>
      <c r="M819" t="str">
        <f t="shared" si="37"/>
        <v>Monday</v>
      </c>
      <c r="N819" t="str">
        <f t="shared" si="38"/>
        <v>High</v>
      </c>
    </row>
    <row r="820" spans="1:14" x14ac:dyDescent="0.35">
      <c r="A820">
        <v>1501451230</v>
      </c>
      <c r="B820" s="1">
        <v>42946</v>
      </c>
      <c r="C820" t="s">
        <v>11</v>
      </c>
      <c r="D820" t="s">
        <v>87</v>
      </c>
      <c r="E820" t="s">
        <v>89</v>
      </c>
      <c r="F820" t="s">
        <v>12</v>
      </c>
      <c r="G820" t="s">
        <v>91</v>
      </c>
      <c r="H820" s="2">
        <v>63</v>
      </c>
      <c r="I820" s="2">
        <v>1</v>
      </c>
      <c r="J820" s="3">
        <v>911.36</v>
      </c>
      <c r="K820" t="s">
        <v>13</v>
      </c>
      <c r="L820" s="3">
        <f t="shared" si="36"/>
        <v>14.466031746031746</v>
      </c>
      <c r="M820" t="str">
        <f t="shared" si="37"/>
        <v>Sunday</v>
      </c>
      <c r="N820" t="str">
        <f t="shared" si="38"/>
        <v>High</v>
      </c>
    </row>
    <row r="821" spans="1:14" x14ac:dyDescent="0.35">
      <c r="A821">
        <v>1493840797</v>
      </c>
      <c r="B821" s="1">
        <v>42858</v>
      </c>
      <c r="C821" t="s">
        <v>11</v>
      </c>
      <c r="D821" t="s">
        <v>27</v>
      </c>
      <c r="E821" t="s">
        <v>89</v>
      </c>
      <c r="F821" t="s">
        <v>12</v>
      </c>
      <c r="G821" t="s">
        <v>91</v>
      </c>
      <c r="H821" s="2">
        <v>21</v>
      </c>
      <c r="I821" s="2">
        <v>1</v>
      </c>
      <c r="J821" s="3">
        <v>930.05</v>
      </c>
      <c r="K821" t="s">
        <v>13</v>
      </c>
      <c r="L821" s="3">
        <f t="shared" si="36"/>
        <v>44.288095238095238</v>
      </c>
      <c r="M821" t="str">
        <f t="shared" si="37"/>
        <v>Wednesday</v>
      </c>
      <c r="N821" t="str">
        <f t="shared" si="38"/>
        <v>High</v>
      </c>
    </row>
    <row r="822" spans="1:14" x14ac:dyDescent="0.35">
      <c r="A822">
        <v>1484846550</v>
      </c>
      <c r="B822" s="1">
        <v>42754</v>
      </c>
      <c r="C822" t="s">
        <v>11</v>
      </c>
      <c r="D822" t="s">
        <v>87</v>
      </c>
      <c r="E822" t="s">
        <v>89</v>
      </c>
      <c r="F822" t="s">
        <v>12</v>
      </c>
      <c r="G822" t="s">
        <v>91</v>
      </c>
      <c r="H822" s="2">
        <v>66</v>
      </c>
      <c r="I822" s="2">
        <v>1</v>
      </c>
      <c r="J822" s="3">
        <v>1034.55</v>
      </c>
      <c r="K822" t="s">
        <v>13</v>
      </c>
      <c r="L822" s="3">
        <f t="shared" si="36"/>
        <v>15.674999999999999</v>
      </c>
      <c r="M822" t="str">
        <f t="shared" si="37"/>
        <v>Thursday</v>
      </c>
      <c r="N822" t="str">
        <f t="shared" si="38"/>
        <v>High</v>
      </c>
    </row>
    <row r="823" spans="1:14" x14ac:dyDescent="0.35">
      <c r="A823">
        <v>1484000933</v>
      </c>
      <c r="B823" s="1">
        <v>42744</v>
      </c>
      <c r="C823" t="s">
        <v>11</v>
      </c>
      <c r="D823" t="s">
        <v>27</v>
      </c>
      <c r="E823" t="s">
        <v>89</v>
      </c>
      <c r="F823" t="s">
        <v>12</v>
      </c>
      <c r="G823" t="s">
        <v>91</v>
      </c>
      <c r="H823" s="2">
        <v>69</v>
      </c>
      <c r="I823" s="2">
        <v>1</v>
      </c>
      <c r="J823" s="3">
        <v>1101.9000000000001</v>
      </c>
      <c r="K823" t="s">
        <v>13</v>
      </c>
      <c r="L823" s="3">
        <f t="shared" si="36"/>
        <v>15.969565217391306</v>
      </c>
      <c r="M823" t="str">
        <f t="shared" si="37"/>
        <v>Monday</v>
      </c>
      <c r="N823" t="str">
        <f t="shared" si="38"/>
        <v>High</v>
      </c>
    </row>
    <row r="824" spans="1:14" x14ac:dyDescent="0.35">
      <c r="A824">
        <v>1484290624</v>
      </c>
      <c r="B824" s="1">
        <v>42747</v>
      </c>
      <c r="C824" t="s">
        <v>11</v>
      </c>
      <c r="D824" t="s">
        <v>87</v>
      </c>
      <c r="E824" t="s">
        <v>89</v>
      </c>
      <c r="F824" t="s">
        <v>12</v>
      </c>
      <c r="G824" t="s">
        <v>91</v>
      </c>
      <c r="H824" s="2">
        <v>34</v>
      </c>
      <c r="I824" s="2">
        <v>1</v>
      </c>
      <c r="J824" s="3">
        <v>1137.3499999999999</v>
      </c>
      <c r="K824" t="s">
        <v>13</v>
      </c>
      <c r="L824" s="3">
        <f t="shared" si="36"/>
        <v>33.451470588235289</v>
      </c>
      <c r="M824" t="str">
        <f t="shared" si="37"/>
        <v>Thursday</v>
      </c>
      <c r="N824" t="str">
        <f t="shared" si="38"/>
        <v>High</v>
      </c>
    </row>
    <row r="825" spans="1:14" x14ac:dyDescent="0.35">
      <c r="A825">
        <v>1476919377</v>
      </c>
      <c r="B825" s="1">
        <v>42662</v>
      </c>
      <c r="C825" t="s">
        <v>11</v>
      </c>
      <c r="D825" t="s">
        <v>25</v>
      </c>
      <c r="E825" t="s">
        <v>89</v>
      </c>
      <c r="F825" t="s">
        <v>12</v>
      </c>
      <c r="G825" t="s">
        <v>91</v>
      </c>
      <c r="H825" s="2">
        <v>60</v>
      </c>
      <c r="I825" s="2">
        <v>1</v>
      </c>
      <c r="J825" s="3">
        <v>1167.79</v>
      </c>
      <c r="K825" t="s">
        <v>13</v>
      </c>
      <c r="L825" s="3">
        <f t="shared" si="36"/>
        <v>19.463166666666666</v>
      </c>
      <c r="M825" t="str">
        <f t="shared" si="37"/>
        <v>Wednesday</v>
      </c>
      <c r="N825" t="str">
        <f t="shared" si="38"/>
        <v>High</v>
      </c>
    </row>
    <row r="826" spans="1:14" x14ac:dyDescent="0.35">
      <c r="A826">
        <v>1480563847</v>
      </c>
      <c r="B826" s="1">
        <v>42704</v>
      </c>
      <c r="C826" t="s">
        <v>11</v>
      </c>
      <c r="D826" t="s">
        <v>14</v>
      </c>
      <c r="E826" t="s">
        <v>89</v>
      </c>
      <c r="F826" t="s">
        <v>12</v>
      </c>
      <c r="G826" t="s">
        <v>91</v>
      </c>
      <c r="H826" s="2">
        <v>28</v>
      </c>
      <c r="I826" s="2">
        <v>1</v>
      </c>
      <c r="J826" s="3">
        <v>1295</v>
      </c>
      <c r="K826" t="s">
        <v>13</v>
      </c>
      <c r="L826" s="3">
        <f t="shared" si="36"/>
        <v>46.25</v>
      </c>
      <c r="M826" t="str">
        <f t="shared" si="37"/>
        <v>Wednesday</v>
      </c>
      <c r="N826" t="str">
        <f t="shared" si="38"/>
        <v>High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5C196-9B08-42B0-A14D-0F9604266558}">
  <dimension ref="A2:C79"/>
  <sheetViews>
    <sheetView zoomScale="120" zoomScaleNormal="120" workbookViewId="0">
      <selection activeCell="F7" sqref="F7"/>
    </sheetView>
  </sheetViews>
  <sheetFormatPr defaultRowHeight="14.5" x14ac:dyDescent="0.35"/>
  <cols>
    <col min="1" max="1" width="12.54296875" bestFit="1" customWidth="1"/>
    <col min="2" max="2" width="17.453125" bestFit="1" customWidth="1"/>
    <col min="3" max="3" width="14.90625" bestFit="1" customWidth="1"/>
  </cols>
  <sheetData>
    <row r="2" spans="1:3" ht="18.5" x14ac:dyDescent="0.45">
      <c r="A2" s="6" t="s">
        <v>112</v>
      </c>
    </row>
    <row r="3" spans="1:3" x14ac:dyDescent="0.35">
      <c r="A3" s="4" t="s">
        <v>96</v>
      </c>
      <c r="B3" t="s">
        <v>98</v>
      </c>
      <c r="C3" t="s">
        <v>99</v>
      </c>
    </row>
    <row r="4" spans="1:3" x14ac:dyDescent="0.35">
      <c r="A4" s="5" t="s">
        <v>91</v>
      </c>
      <c r="B4" s="2">
        <v>492</v>
      </c>
      <c r="C4" s="3">
        <v>34617.329999999944</v>
      </c>
    </row>
    <row r="5" spans="1:3" x14ac:dyDescent="0.35">
      <c r="A5" s="5" t="s">
        <v>90</v>
      </c>
      <c r="B5" s="2">
        <v>341</v>
      </c>
      <c r="C5" s="3">
        <v>13298.859999999986</v>
      </c>
    </row>
    <row r="6" spans="1:3" x14ac:dyDescent="0.35">
      <c r="A6" s="5" t="s">
        <v>92</v>
      </c>
      <c r="B6" s="2">
        <v>1</v>
      </c>
      <c r="C6" s="3">
        <v>102.93</v>
      </c>
    </row>
    <row r="7" spans="1:3" x14ac:dyDescent="0.35">
      <c r="A7" s="5" t="s">
        <v>97</v>
      </c>
      <c r="B7" s="2">
        <v>834</v>
      </c>
      <c r="C7" s="3">
        <v>48019.11999999993</v>
      </c>
    </row>
    <row r="9" spans="1:3" ht="18.5" x14ac:dyDescent="0.45">
      <c r="A9" s="6" t="s">
        <v>113</v>
      </c>
    </row>
    <row r="10" spans="1:3" x14ac:dyDescent="0.35">
      <c r="A10" s="4" t="s">
        <v>96</v>
      </c>
      <c r="B10" t="s">
        <v>99</v>
      </c>
    </row>
    <row r="11" spans="1:3" x14ac:dyDescent="0.35">
      <c r="A11" s="5" t="s">
        <v>100</v>
      </c>
      <c r="B11" s="3">
        <v>6991.92</v>
      </c>
    </row>
    <row r="12" spans="1:3" x14ac:dyDescent="0.35">
      <c r="A12" s="5" t="s">
        <v>101</v>
      </c>
      <c r="B12" s="3">
        <v>7796.57</v>
      </c>
    </row>
    <row r="13" spans="1:3" x14ac:dyDescent="0.35">
      <c r="A13" s="5" t="s">
        <v>102</v>
      </c>
      <c r="B13" s="3">
        <v>9321</v>
      </c>
    </row>
    <row r="14" spans="1:3" x14ac:dyDescent="0.35">
      <c r="A14" s="5" t="s">
        <v>103</v>
      </c>
      <c r="B14" s="3">
        <v>7414.93</v>
      </c>
    </row>
    <row r="15" spans="1:3" x14ac:dyDescent="0.35">
      <c r="A15" s="5" t="s">
        <v>104</v>
      </c>
      <c r="B15" s="3">
        <v>8359.6999999999989</v>
      </c>
    </row>
    <row r="16" spans="1:3" x14ac:dyDescent="0.35">
      <c r="A16" s="5" t="s">
        <v>105</v>
      </c>
      <c r="B16" s="3">
        <v>4025.4399999999996</v>
      </c>
    </row>
    <row r="17" spans="1:2" x14ac:dyDescent="0.35">
      <c r="A17" s="5" t="s">
        <v>106</v>
      </c>
      <c r="B17" s="3">
        <v>4109.5599999999995</v>
      </c>
    </row>
    <row r="18" spans="1:2" x14ac:dyDescent="0.35">
      <c r="A18" s="5" t="s">
        <v>97</v>
      </c>
      <c r="B18" s="3">
        <v>48019.119999999995</v>
      </c>
    </row>
    <row r="20" spans="1:2" ht="18.5" x14ac:dyDescent="0.45">
      <c r="A20" s="6" t="s">
        <v>111</v>
      </c>
    </row>
    <row r="21" spans="1:2" x14ac:dyDescent="0.35">
      <c r="A21" s="4" t="s">
        <v>96</v>
      </c>
      <c r="B21" t="s">
        <v>99</v>
      </c>
    </row>
    <row r="22" spans="1:2" x14ac:dyDescent="0.35">
      <c r="A22" s="5" t="s">
        <v>88</v>
      </c>
      <c r="B22" s="3">
        <v>337.01</v>
      </c>
    </row>
    <row r="23" spans="1:2" x14ac:dyDescent="0.35">
      <c r="A23" s="5" t="s">
        <v>41</v>
      </c>
      <c r="B23" s="3">
        <v>13.29</v>
      </c>
    </row>
    <row r="24" spans="1:2" x14ac:dyDescent="0.35">
      <c r="A24" s="5" t="s">
        <v>63</v>
      </c>
      <c r="B24" s="3">
        <v>26.58</v>
      </c>
    </row>
    <row r="25" spans="1:2" x14ac:dyDescent="0.35">
      <c r="A25" s="5" t="s">
        <v>23</v>
      </c>
      <c r="B25" s="3">
        <v>401.28</v>
      </c>
    </row>
    <row r="26" spans="1:2" x14ac:dyDescent="0.35">
      <c r="A26" s="5" t="s">
        <v>19</v>
      </c>
      <c r="B26" s="3">
        <v>104.38999999999999</v>
      </c>
    </row>
    <row r="27" spans="1:2" x14ac:dyDescent="0.35">
      <c r="A27" s="5" t="s">
        <v>71</v>
      </c>
      <c r="B27" s="3">
        <v>32.28</v>
      </c>
    </row>
    <row r="28" spans="1:2" x14ac:dyDescent="0.35">
      <c r="A28" s="5" t="s">
        <v>53</v>
      </c>
      <c r="B28" s="3">
        <v>17.98</v>
      </c>
    </row>
    <row r="29" spans="1:2" x14ac:dyDescent="0.35">
      <c r="A29" s="5" t="s">
        <v>20</v>
      </c>
      <c r="B29" s="3">
        <v>91.72</v>
      </c>
    </row>
    <row r="30" spans="1:2" x14ac:dyDescent="0.35">
      <c r="A30" s="5" t="s">
        <v>83</v>
      </c>
      <c r="B30" s="3">
        <v>99.99</v>
      </c>
    </row>
    <row r="31" spans="1:2" x14ac:dyDescent="0.35">
      <c r="A31" s="5" t="s">
        <v>73</v>
      </c>
      <c r="B31" s="3">
        <v>33.979999999999997</v>
      </c>
    </row>
    <row r="32" spans="1:2" x14ac:dyDescent="0.35">
      <c r="A32" s="5" t="s">
        <v>24</v>
      </c>
      <c r="B32" s="3">
        <v>44.980000000000004</v>
      </c>
    </row>
    <row r="33" spans="1:2" x14ac:dyDescent="0.35">
      <c r="A33" s="5" t="s">
        <v>25</v>
      </c>
      <c r="B33" s="3">
        <v>2099.9899999999998</v>
      </c>
    </row>
    <row r="34" spans="1:2" x14ac:dyDescent="0.35">
      <c r="A34" s="5" t="s">
        <v>65</v>
      </c>
      <c r="B34" s="3">
        <v>27.98</v>
      </c>
    </row>
    <row r="35" spans="1:2" x14ac:dyDescent="0.35">
      <c r="A35" s="5" t="s">
        <v>37</v>
      </c>
      <c r="B35" s="3">
        <v>176.23</v>
      </c>
    </row>
    <row r="36" spans="1:2" x14ac:dyDescent="0.35">
      <c r="A36" s="5" t="s">
        <v>75</v>
      </c>
      <c r="B36" s="3">
        <v>213.42000000000002</v>
      </c>
    </row>
    <row r="37" spans="1:2" x14ac:dyDescent="0.35">
      <c r="A37" s="5" t="s">
        <v>43</v>
      </c>
      <c r="B37" s="3">
        <v>14.98</v>
      </c>
    </row>
    <row r="38" spans="1:2" x14ac:dyDescent="0.35">
      <c r="A38" s="5" t="s">
        <v>60</v>
      </c>
      <c r="B38" s="3">
        <v>24.99</v>
      </c>
    </row>
    <row r="39" spans="1:2" x14ac:dyDescent="0.35">
      <c r="A39" s="5" t="s">
        <v>54</v>
      </c>
      <c r="B39" s="3">
        <v>116.39000000000001</v>
      </c>
    </row>
    <row r="40" spans="1:2" x14ac:dyDescent="0.35">
      <c r="A40" s="5" t="s">
        <v>28</v>
      </c>
      <c r="B40" s="3">
        <v>2225.5700000000002</v>
      </c>
    </row>
    <row r="41" spans="1:2" x14ac:dyDescent="0.35">
      <c r="A41" s="5" t="s">
        <v>74</v>
      </c>
      <c r="B41" s="3">
        <v>33.979999999999997</v>
      </c>
    </row>
    <row r="42" spans="1:2" x14ac:dyDescent="0.35">
      <c r="A42" s="5" t="s">
        <v>59</v>
      </c>
      <c r="B42" s="3">
        <v>24.68</v>
      </c>
    </row>
    <row r="43" spans="1:2" x14ac:dyDescent="0.35">
      <c r="A43" s="5" t="s">
        <v>46</v>
      </c>
      <c r="B43" s="3">
        <v>45.97</v>
      </c>
    </row>
    <row r="44" spans="1:2" x14ac:dyDescent="0.35">
      <c r="A44" s="5" t="s">
        <v>82</v>
      </c>
      <c r="B44" s="3">
        <v>84.97</v>
      </c>
    </row>
    <row r="45" spans="1:2" x14ac:dyDescent="0.35">
      <c r="A45" s="5" t="s">
        <v>70</v>
      </c>
      <c r="B45" s="3">
        <v>366.93</v>
      </c>
    </row>
    <row r="46" spans="1:2" x14ac:dyDescent="0.35">
      <c r="A46" s="5" t="s">
        <v>14</v>
      </c>
      <c r="B46" s="3">
        <v>4795.88</v>
      </c>
    </row>
    <row r="47" spans="1:2" x14ac:dyDescent="0.35">
      <c r="A47" s="5" t="s">
        <v>67</v>
      </c>
      <c r="B47" s="3">
        <v>28.93</v>
      </c>
    </row>
    <row r="48" spans="1:2" x14ac:dyDescent="0.35">
      <c r="A48" s="5" t="s">
        <v>57</v>
      </c>
      <c r="B48" s="3">
        <v>99.410000000000011</v>
      </c>
    </row>
    <row r="49" spans="1:2" x14ac:dyDescent="0.35">
      <c r="A49" s="5" t="s">
        <v>38</v>
      </c>
      <c r="B49" s="3">
        <v>169.42000000000002</v>
      </c>
    </row>
    <row r="50" spans="1:2" x14ac:dyDescent="0.35">
      <c r="A50" s="5" t="s">
        <v>64</v>
      </c>
      <c r="B50" s="3">
        <v>26.98</v>
      </c>
    </row>
    <row r="51" spans="1:2" x14ac:dyDescent="0.35">
      <c r="A51" s="5" t="s">
        <v>44</v>
      </c>
      <c r="B51" s="3">
        <v>291.02999999999997</v>
      </c>
    </row>
    <row r="52" spans="1:2" x14ac:dyDescent="0.35">
      <c r="A52" s="5" t="s">
        <v>18</v>
      </c>
      <c r="B52" s="3">
        <v>1179.3600000000001</v>
      </c>
    </row>
    <row r="53" spans="1:2" x14ac:dyDescent="0.35">
      <c r="A53" s="5" t="s">
        <v>85</v>
      </c>
      <c r="B53" s="3">
        <v>101.95</v>
      </c>
    </row>
    <row r="54" spans="1:2" x14ac:dyDescent="0.35">
      <c r="A54" s="5" t="s">
        <v>76</v>
      </c>
      <c r="B54" s="3">
        <v>38.979999999999997</v>
      </c>
    </row>
    <row r="55" spans="1:2" x14ac:dyDescent="0.35">
      <c r="A55" s="5" t="s">
        <v>52</v>
      </c>
      <c r="B55" s="3">
        <v>16.989999999999998</v>
      </c>
    </row>
    <row r="56" spans="1:2" x14ac:dyDescent="0.35">
      <c r="A56" s="5" t="s">
        <v>68</v>
      </c>
      <c r="B56" s="3">
        <v>311.31</v>
      </c>
    </row>
    <row r="57" spans="1:2" x14ac:dyDescent="0.35">
      <c r="A57" s="5" t="s">
        <v>48</v>
      </c>
      <c r="B57" s="3">
        <v>97.050000000000011</v>
      </c>
    </row>
    <row r="58" spans="1:2" x14ac:dyDescent="0.35">
      <c r="A58" s="5" t="s">
        <v>21</v>
      </c>
      <c r="B58" s="3">
        <v>18.979999999999997</v>
      </c>
    </row>
    <row r="59" spans="1:2" x14ac:dyDescent="0.35">
      <c r="A59" s="5" t="s">
        <v>56</v>
      </c>
      <c r="B59" s="3">
        <v>20.99</v>
      </c>
    </row>
    <row r="60" spans="1:2" x14ac:dyDescent="0.35">
      <c r="A60" s="5" t="s">
        <v>29</v>
      </c>
      <c r="B60" s="3">
        <v>26.939999999999998</v>
      </c>
    </row>
    <row r="61" spans="1:2" x14ac:dyDescent="0.35">
      <c r="A61" s="5" t="s">
        <v>58</v>
      </c>
      <c r="B61" s="3">
        <v>902.77</v>
      </c>
    </row>
    <row r="62" spans="1:2" x14ac:dyDescent="0.35">
      <c r="A62" s="5" t="s">
        <v>15</v>
      </c>
      <c r="B62" s="3">
        <v>2789.7000000000003</v>
      </c>
    </row>
    <row r="63" spans="1:2" x14ac:dyDescent="0.35">
      <c r="A63" s="5" t="s">
        <v>31</v>
      </c>
      <c r="B63" s="3">
        <v>1007.5100000000002</v>
      </c>
    </row>
    <row r="64" spans="1:2" x14ac:dyDescent="0.35">
      <c r="A64" s="5" t="s">
        <v>77</v>
      </c>
      <c r="B64" s="3">
        <v>40.369999999999997</v>
      </c>
    </row>
    <row r="65" spans="1:2" x14ac:dyDescent="0.35">
      <c r="A65" s="5" t="s">
        <v>27</v>
      </c>
      <c r="B65" s="3">
        <v>5871.32</v>
      </c>
    </row>
    <row r="66" spans="1:2" x14ac:dyDescent="0.35">
      <c r="A66" s="5" t="s">
        <v>34</v>
      </c>
      <c r="B66" s="3">
        <v>90.199999999999989</v>
      </c>
    </row>
    <row r="67" spans="1:2" x14ac:dyDescent="0.35">
      <c r="A67" s="5" t="s">
        <v>51</v>
      </c>
      <c r="B67" s="3">
        <v>16.989999999999998</v>
      </c>
    </row>
    <row r="68" spans="1:2" x14ac:dyDescent="0.35">
      <c r="A68" s="5" t="s">
        <v>33</v>
      </c>
      <c r="B68" s="3">
        <v>10.99</v>
      </c>
    </row>
    <row r="69" spans="1:2" x14ac:dyDescent="0.35">
      <c r="A69" s="5" t="s">
        <v>47</v>
      </c>
      <c r="B69" s="3">
        <v>217.88</v>
      </c>
    </row>
    <row r="70" spans="1:2" x14ac:dyDescent="0.35">
      <c r="A70" s="5" t="s">
        <v>87</v>
      </c>
      <c r="B70" s="3">
        <v>22945.099999999955</v>
      </c>
    </row>
    <row r="71" spans="1:2" x14ac:dyDescent="0.35">
      <c r="A71" s="5" t="s">
        <v>17</v>
      </c>
      <c r="B71" s="3">
        <v>242.53</v>
      </c>
    </row>
    <row r="72" spans="1:2" x14ac:dyDescent="0.35">
      <c r="A72" s="5" t="s">
        <v>97</v>
      </c>
      <c r="B72" s="3">
        <v>48019.119999999952</v>
      </c>
    </row>
    <row r="74" spans="1:2" x14ac:dyDescent="0.35">
      <c r="A74" s="5" t="s">
        <v>110</v>
      </c>
    </row>
    <row r="75" spans="1:2" x14ac:dyDescent="0.35">
      <c r="A75" s="4" t="s">
        <v>96</v>
      </c>
      <c r="B75" t="s">
        <v>98</v>
      </c>
    </row>
    <row r="76" spans="1:2" x14ac:dyDescent="0.35">
      <c r="A76" s="5" t="s">
        <v>107</v>
      </c>
      <c r="B76" s="2">
        <v>37</v>
      </c>
    </row>
    <row r="77" spans="1:2" x14ac:dyDescent="0.35">
      <c r="A77" s="5" t="s">
        <v>108</v>
      </c>
      <c r="B77" s="2">
        <v>353</v>
      </c>
    </row>
    <row r="78" spans="1:2" x14ac:dyDescent="0.35">
      <c r="A78" s="5" t="s">
        <v>109</v>
      </c>
      <c r="B78" s="2">
        <v>444</v>
      </c>
    </row>
    <row r="79" spans="1:2" x14ac:dyDescent="0.35">
      <c r="A79" s="5" t="s">
        <v>97</v>
      </c>
      <c r="B79" s="2">
        <v>834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Analysed Data</vt:lpstr>
      <vt:lpstr>P.T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LEEYAH</dc:creator>
  <cp:lastModifiedBy>daniel basil</cp:lastModifiedBy>
  <dcterms:created xsi:type="dcterms:W3CDTF">2026-07-08T11:54:06Z</dcterms:created>
  <dcterms:modified xsi:type="dcterms:W3CDTF">2026-07-09T10:01:37Z</dcterms:modified>
</cp:coreProperties>
</file>